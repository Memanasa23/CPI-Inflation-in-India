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firstSheet="5" activeTab="5"/>
  </bookViews>
  <sheets>
    <sheet name="1. Practice" sheetId="9" r:id="rId1"/>
    <sheet name="4. Practice sheet" sheetId="20" r:id="rId2"/>
    <sheet name="CPI_INDIA" sheetId="11" r:id="rId3"/>
    <sheet name="1. CPI_Lates_ Month_Data" sheetId="13" r:id="rId4"/>
    <sheet name="2.  Y-o-Y increase in CP!" sheetId="18" r:id="rId5"/>
    <sheet name="3. M-O-M Food Inflation" sheetId="19" r:id="rId6"/>
    <sheet name="4. Investigate how the onset " sheetId="21" r:id="rId7"/>
    <sheet name="5. Correlation on Oil Prices" sheetId="25" r:id="rId8"/>
  </sheets>
  <definedNames>
    <definedName name="_xlnm._FilterDatabase" localSheetId="1" hidden="1">'4. Practice sheet'!$A$1:$F$370</definedName>
    <definedName name="_xlnm._FilterDatabase" localSheetId="2" hidden="1">CPI_INDIA!$A$1:$AH$370</definedName>
    <definedName name="_xlnm._FilterDatabase" localSheetId="4" hidden="1">'2.  Y-o-Y increase in CP!'!$A$9:$E$132</definedName>
    <definedName name="_xlnm._FilterDatabase" localSheetId="7" hidden="1">'5. Correlation on Oil Prices'!$A$32:$E$61</definedName>
    <definedName name="_xlnm._FilterDatabase" localSheetId="0" hidden="1">'1. Practice'!#REF!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<sst xmlns="http://schemas.openxmlformats.org/spreadsheetml/2006/main" count="2179" uniqueCount="138">
  <si>
    <t>Sector</t>
  </si>
  <si>
    <t>Year</t>
  </si>
  <si>
    <t>Month</t>
  </si>
  <si>
    <t>Food</t>
  </si>
  <si>
    <t>Pan, tobacco and intoxicants</t>
  </si>
  <si>
    <t>Clothes &amp; Shoes</t>
  </si>
  <si>
    <t>Household</t>
  </si>
  <si>
    <t>Fuel and light</t>
  </si>
  <si>
    <t>Transport and communication</t>
  </si>
  <si>
    <t>HealthCare</t>
  </si>
  <si>
    <t>Education</t>
  </si>
  <si>
    <t>Recreation and amusement</t>
  </si>
  <si>
    <t>Miscellaneous</t>
  </si>
  <si>
    <t>General index</t>
  </si>
  <si>
    <t>Rural</t>
  </si>
  <si>
    <t>May</t>
  </si>
  <si>
    <t>Urban</t>
  </si>
  <si>
    <t>Rural+Urban</t>
  </si>
  <si>
    <t>Essential Services</t>
  </si>
  <si>
    <t>January</t>
  </si>
  <si>
    <t>February</t>
  </si>
  <si>
    <t>Month - Year</t>
  </si>
  <si>
    <t>Average_Food</t>
  </si>
  <si>
    <t>Average_HealthCare</t>
  </si>
  <si>
    <t>Average_EssentialServices</t>
  </si>
  <si>
    <t>April 2019 - February 2020</t>
  </si>
  <si>
    <t>March</t>
  </si>
  <si>
    <t>March 2020</t>
  </si>
  <si>
    <t>April 2020 - March 2021</t>
  </si>
  <si>
    <t>April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</si>
  <si>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</si>
  <si>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</si>
  <si>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</si>
  <si>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</si>
  <si>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</si>
  <si>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</si>
  <si>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</si>
  <si>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</si>
  <si>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</si>
  <si>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</si>
  <si>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</si>
  <si>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</si>
  <si>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</si>
  <si>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</si>
  <si>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</si>
  <si>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</si>
  <si>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</si>
  <si>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</si>
  <si>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</si>
  <si>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</si>
  <si>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</si>
  <si>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Clothing</t>
  </si>
  <si>
    <t>Footwear</t>
  </si>
  <si>
    <t>Clothing and footwear</t>
  </si>
  <si>
    <t>Housing</t>
  </si>
  <si>
    <t>Household goods and services</t>
  </si>
  <si>
    <t>Personal care and effects</t>
  </si>
  <si>
    <t>Health</t>
  </si>
  <si>
    <t>Total Sum</t>
  </si>
  <si>
    <t>Names</t>
  </si>
  <si>
    <t>Percentage (%)</t>
  </si>
  <si>
    <t>SUM</t>
  </si>
  <si>
    <t>CPI YOY</t>
  </si>
  <si>
    <t>2016-2017</t>
  </si>
  <si>
    <t>2017-2018</t>
  </si>
  <si>
    <t>2018-2019</t>
  </si>
  <si>
    <t>2019-2020</t>
  </si>
  <si>
    <t>2020-2021</t>
  </si>
  <si>
    <t>2021-2022</t>
  </si>
  <si>
    <t>2022-2023</t>
  </si>
  <si>
    <t>sum</t>
  </si>
  <si>
    <t xml:space="preserve">YOY </t>
  </si>
  <si>
    <t>Growth Rate (%)</t>
  </si>
  <si>
    <t>Sum of Sum_Food</t>
  </si>
  <si>
    <t>Grand Total</t>
  </si>
  <si>
    <t>Month- Year</t>
  </si>
  <si>
    <t>Food_Summation</t>
  </si>
  <si>
    <t>Month - Month</t>
  </si>
  <si>
    <t>M-O-M</t>
  </si>
  <si>
    <t>June - 2022</t>
  </si>
  <si>
    <t>June-July</t>
  </si>
  <si>
    <t>July - 2022</t>
  </si>
  <si>
    <t>August - 2022</t>
  </si>
  <si>
    <t>September - 2022</t>
  </si>
  <si>
    <t>October - 2022</t>
  </si>
  <si>
    <t>November - 2022</t>
  </si>
  <si>
    <t>December - 2022</t>
  </si>
  <si>
    <t>January - 2023</t>
  </si>
  <si>
    <t>February - 2023</t>
  </si>
  <si>
    <t>March - 2023</t>
  </si>
  <si>
    <t>April - 2023</t>
  </si>
  <si>
    <t>May - 2023</t>
  </si>
  <si>
    <t>Values</t>
  </si>
  <si>
    <t>Total Sum of Cereals and products</t>
  </si>
  <si>
    <t>Total Sum of Oils and fats</t>
  </si>
  <si>
    <t>Total Sum of Milk and products</t>
  </si>
  <si>
    <t>Total Sum of Vegetables</t>
  </si>
  <si>
    <t>Total Sum of Egg</t>
  </si>
  <si>
    <t>Total Sum of Pulses and products</t>
  </si>
  <si>
    <t>Total Sum of Spices</t>
  </si>
  <si>
    <t>Total Sum of Fruits</t>
  </si>
  <si>
    <t>Total Sum of Sugar and Confectionery</t>
  </si>
  <si>
    <t>Total Sum of Food and beverages</t>
  </si>
  <si>
    <t>Total Sum of Non-alcoholic beverages</t>
  </si>
  <si>
    <t>Total Sum of Prepared meals, snacks, sweets etc.</t>
  </si>
  <si>
    <t>Total Sum of Meat and fish</t>
  </si>
  <si>
    <t>Sum of Cereals and products</t>
  </si>
  <si>
    <t>Sum of Oils and fats</t>
  </si>
  <si>
    <t>Sum of Milk and products</t>
  </si>
  <si>
    <t>Sum of Vegetables</t>
  </si>
  <si>
    <t>Sum of Egg</t>
  </si>
  <si>
    <t>Sum of Pulses and products</t>
  </si>
  <si>
    <t>Sum of Spices</t>
  </si>
  <si>
    <t>Sum of Fruits</t>
  </si>
  <si>
    <t>Sum of Sugar and Confectionery</t>
  </si>
  <si>
    <t>Sum of Food and beverages</t>
  </si>
  <si>
    <t>Sum of Non-alcoholic beverages</t>
  </si>
  <si>
    <t>Sum of Prepared meals, snacks, sweets etc.</t>
  </si>
  <si>
    <t>Sum of Meat and fish</t>
  </si>
  <si>
    <t>Absolute Changes</t>
  </si>
  <si>
    <t>Products</t>
  </si>
  <si>
    <t>Total Sum of HealthCare</t>
  </si>
  <si>
    <t>Total Sum of Food</t>
  </si>
  <si>
    <t>Total Sum of Essential Services</t>
  </si>
  <si>
    <t>Sum of HealthCare</t>
  </si>
  <si>
    <t>Sum of Food</t>
  </si>
  <si>
    <t>Sum of Essential Services</t>
  </si>
  <si>
    <t>Percentage Increase</t>
  </si>
  <si>
    <t>* In the June Month the HealthcareInfation rate change is more</t>
  </si>
  <si>
    <t>Sum of Fuel and light</t>
  </si>
  <si>
    <t>Oil Prices</t>
  </si>
  <si>
    <t>*</t>
  </si>
  <si>
    <t>Correlation between oil price changes and food inflation</t>
  </si>
  <si>
    <t>(Weak Negative Correlations on Food inflation)</t>
  </si>
  <si>
    <t>Correlation between oil price changes and healthcare inflation</t>
  </si>
  <si>
    <t>(Slightly Weak Negative Correlations on HealthCare inflation)</t>
  </si>
  <si>
    <t>Correlation between oil price changes and essential services inflation</t>
  </si>
  <si>
    <t>(Strong Positive Correlations Essential Services inflation)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</si>
</sst>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_ "/>
    <numFmt numFmtId="182" formatCode="mmm/yy"/>
    <numFmt numFmtId="183" formatCode="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FF00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8DE81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BD3E5"/>
        <bgColor indexed="64"/>
      </patternFill>
    </fill>
    <fill>
      <patternFill patternType="solid">
        <fgColor rgb="FFE0EC12"/>
        <bgColor indexed="64"/>
      </patternFill>
    </fill>
    <fill>
      <patternFill patternType="solid">
        <fgColor rgb="FFECCB1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16" applyNumberFormat="0" applyAlignment="0" applyProtection="0">
      <alignment vertical="center"/>
    </xf>
    <xf numFmtId="0" fontId="13" fillId="24" borderId="17" applyNumberFormat="0" applyAlignment="0" applyProtection="0">
      <alignment vertical="center"/>
    </xf>
    <xf numFmtId="0" fontId="14" fillId="24" borderId="16" applyNumberFormat="0" applyAlignment="0" applyProtection="0">
      <alignment vertical="center"/>
    </xf>
    <xf numFmtId="0" fontId="15" fillId="2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Fill="1" applyBorder="1">
      <alignment vertical="center"/>
    </xf>
    <xf numFmtId="0" fontId="3" fillId="0" borderId="0" xfId="0" applyFont="1">
      <alignment vertical="center"/>
    </xf>
    <xf numFmtId="180" fontId="3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4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181" fontId="0" fillId="0" borderId="3" xfId="0" applyNumberFormat="1" applyBorder="1">
      <alignment vertical="center"/>
    </xf>
    <xf numFmtId="181" fontId="0" fillId="0" borderId="5" xfId="0" applyNumberFormat="1" applyBorder="1">
      <alignment vertical="center"/>
    </xf>
    <xf numFmtId="181" fontId="0" fillId="0" borderId="6" xfId="0" applyNumberFormat="1" applyBorder="1">
      <alignment vertical="center"/>
    </xf>
    <xf numFmtId="181" fontId="0" fillId="0" borderId="8" xfId="0" applyNumberFormat="1" applyBorder="1">
      <alignment vertical="center"/>
    </xf>
    <xf numFmtId="181" fontId="0" fillId="0" borderId="9" xfId="0" applyNumberFormat="1" applyBorder="1">
      <alignment vertical="center"/>
    </xf>
    <xf numFmtId="182" fontId="1" fillId="3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9" fontId="0" fillId="0" borderId="1" xfId="3" applyBorder="1">
      <alignment vertical="center"/>
    </xf>
    <xf numFmtId="0" fontId="1" fillId="6" borderId="0" xfId="0" applyFont="1" applyFill="1">
      <alignment vertical="center"/>
    </xf>
    <xf numFmtId="0" fontId="1" fillId="4" borderId="10" xfId="0" applyFont="1" applyFill="1" applyBorder="1">
      <alignment vertical="center"/>
    </xf>
    <xf numFmtId="0" fontId="0" fillId="0" borderId="0" xfId="0" applyFill="1" applyAlignment="1">
      <alignment horizontal="left"/>
    </xf>
    <xf numFmtId="0" fontId="0" fillId="0" borderId="10" xfId="0" applyBorder="1">
      <alignment vertical="center"/>
    </xf>
    <xf numFmtId="0" fontId="0" fillId="6" borderId="0" xfId="0" applyFill="1">
      <alignment vertical="center"/>
    </xf>
    <xf numFmtId="0" fontId="0" fillId="6" borderId="0" xfId="0" applyFill="1" applyAlignment="1"/>
    <xf numFmtId="0" fontId="0" fillId="0" borderId="1" xfId="0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1" fillId="4" borderId="11" xfId="0" applyNumberFormat="1" applyFont="1" applyFill="1" applyBorder="1" applyAlignment="1">
      <alignment horizontal="center"/>
    </xf>
    <xf numFmtId="0" fontId="0" fillId="9" borderId="1" xfId="0" applyFill="1" applyBorder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0" fillId="10" borderId="1" xfId="0" applyFill="1" applyBorder="1">
      <alignment vertical="center"/>
    </xf>
    <xf numFmtId="0" fontId="0" fillId="4" borderId="1" xfId="0" applyNumberFormat="1" applyFont="1" applyFill="1" applyBorder="1" applyAlignment="1"/>
    <xf numFmtId="0" fontId="0" fillId="11" borderId="1" xfId="0" applyFill="1" applyBorder="1">
      <alignment vertical="center"/>
    </xf>
    <xf numFmtId="0" fontId="0" fillId="0" borderId="0" xfId="0" applyNumberFormat="1" applyFont="1" applyFill="1" applyAlignment="1">
      <alignment horizontal="center"/>
    </xf>
    <xf numFmtId="0" fontId="1" fillId="6" borderId="1" xfId="0" applyFont="1" applyFill="1" applyBorder="1">
      <alignment vertical="center"/>
    </xf>
    <xf numFmtId="183" fontId="0" fillId="0" borderId="1" xfId="0" applyNumberFormat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16" borderId="1" xfId="0" applyFill="1" applyBorder="1">
      <alignment vertical="center"/>
    </xf>
    <xf numFmtId="0" fontId="0" fillId="17" borderId="1" xfId="0" applyFill="1" applyBorder="1">
      <alignment vertical="center"/>
    </xf>
    <xf numFmtId="0" fontId="1" fillId="18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>
      <alignment vertical="center"/>
    </xf>
    <xf numFmtId="0" fontId="1" fillId="18" borderId="1" xfId="0" applyFont="1" applyFill="1" applyBorder="1">
      <alignment vertical="center"/>
    </xf>
    <xf numFmtId="0" fontId="1" fillId="19" borderId="1" xfId="0" applyNumberFormat="1" applyFont="1" applyFill="1" applyBorder="1">
      <alignment vertical="center"/>
    </xf>
    <xf numFmtId="0" fontId="1" fillId="19" borderId="1" xfId="0" applyFont="1" applyFill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0" xfId="0" applyFill="1">
      <alignment vertical="center"/>
    </xf>
    <xf numFmtId="0" fontId="1" fillId="18" borderId="12" xfId="0" applyNumberFormat="1" applyFont="1" applyFill="1" applyBorder="1" applyAlignment="1">
      <alignment horizontal="center" vertical="center"/>
    </xf>
    <xf numFmtId="9" fontId="1" fillId="18" borderId="1" xfId="0" applyNumberFormat="1" applyFont="1" applyFill="1" applyBorder="1" applyAlignment="1">
      <alignment horizontal="center" vertical="center"/>
    </xf>
    <xf numFmtId="0" fontId="1" fillId="20" borderId="1" xfId="0" applyNumberFormat="1" applyFont="1" applyFill="1" applyBorder="1">
      <alignment vertical="center"/>
    </xf>
    <xf numFmtId="0" fontId="1" fillId="20" borderId="1" xfId="0" applyFont="1" applyFill="1" applyBorder="1">
      <alignment vertical="center"/>
    </xf>
    <xf numFmtId="0" fontId="0" fillId="18" borderId="1" xfId="0" applyFill="1" applyBorder="1">
      <alignment vertical="center"/>
    </xf>
    <xf numFmtId="0" fontId="1" fillId="5" borderId="1" xfId="0" applyFont="1" applyFill="1" applyBorder="1">
      <alignment vertical="center"/>
    </xf>
    <xf numFmtId="0" fontId="0" fillId="21" borderId="1" xfId="0" applyFill="1" applyBorder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CCB12"/>
      <color rgb="00E0EC12"/>
      <color rgb="000BD3E5"/>
      <color rgb="008DE8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Highest CPI Latest Month Analysis</a:t>
            </a:r>
            <a:endParaRPr lang="en-IN" altLang="en-US"/>
          </a:p>
        </c:rich>
      </c:tx>
      <c:layout>
        <c:manualLayout>
          <c:xMode val="edge"/>
          <c:yMode val="edge"/>
          <c:x val="0.26505043931012"/>
          <c:y val="0.00727493179751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0.0403514480963228"/>
                  <c:y val="-0.016368596544407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650829808005207"/>
                  <c:y val="0.052743255531979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CPI_Lates_ Month_Data'!$H$10:$H$20</c:f>
              <c:strCache>
                <c:ptCount val="11"/>
                <c:pt idx="0">
                  <c:v>Food</c:v>
                </c:pt>
                <c:pt idx="1">
                  <c:v>Pan, tobacco and intoxicants</c:v>
                </c:pt>
                <c:pt idx="2">
                  <c:v>Clothes &amp; Shoes</c:v>
                </c:pt>
                <c:pt idx="3">
                  <c:v>Household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HealthCare</c:v>
                </c:pt>
                <c:pt idx="7">
                  <c:v>Education</c:v>
                </c:pt>
                <c:pt idx="8">
                  <c:v>Recreation and amusement</c:v>
                </c:pt>
                <c:pt idx="9">
                  <c:v>Miscellaneous</c:v>
                </c:pt>
                <c:pt idx="10">
                  <c:v>General index</c:v>
                </c:pt>
              </c:strCache>
            </c:strRef>
          </c:cat>
          <c:val>
            <c:numRef>
              <c:f>'1. CPI_Lates_ Month_Data'!$I$10:$I$20</c:f>
              <c:numCache>
                <c:formatCode>General</c:formatCode>
                <c:ptCount val="11"/>
                <c:pt idx="0">
                  <c:v>6932.7</c:v>
                </c:pt>
                <c:pt idx="1">
                  <c:v>605.1</c:v>
                </c:pt>
                <c:pt idx="2">
                  <c:v>1651.8</c:v>
                </c:pt>
                <c:pt idx="3">
                  <c:v>1051.9</c:v>
                </c:pt>
                <c:pt idx="4">
                  <c:v>548.7</c:v>
                </c:pt>
                <c:pt idx="5">
                  <c:v>494.9</c:v>
                </c:pt>
                <c:pt idx="6">
                  <c:v>1111.4</c:v>
                </c:pt>
                <c:pt idx="7">
                  <c:v>532.2</c:v>
                </c:pt>
                <c:pt idx="8">
                  <c:v>514.2</c:v>
                </c:pt>
                <c:pt idx="9">
                  <c:v>526.8</c:v>
                </c:pt>
                <c:pt idx="10">
                  <c:v>537.1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CPI_Lates_ Month_Data'!$H$10:$H$20</c:f>
              <c:strCache>
                <c:ptCount val="11"/>
                <c:pt idx="0">
                  <c:v>Food</c:v>
                </c:pt>
                <c:pt idx="1">
                  <c:v>Pan, tobacco and intoxicants</c:v>
                </c:pt>
                <c:pt idx="2">
                  <c:v>Clothes &amp; Shoes</c:v>
                </c:pt>
                <c:pt idx="3">
                  <c:v>Household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HealthCare</c:v>
                </c:pt>
                <c:pt idx="7">
                  <c:v>Education</c:v>
                </c:pt>
                <c:pt idx="8">
                  <c:v>Recreation and amusement</c:v>
                </c:pt>
                <c:pt idx="9">
                  <c:v>Miscellaneous</c:v>
                </c:pt>
                <c:pt idx="10">
                  <c:v>General index</c:v>
                </c:pt>
              </c:strCache>
            </c:strRef>
          </c:cat>
          <c:val>
            <c:numRef>
              <c:f>'1. CPI_Lates_ Month_Data'!$J$10:$J$20</c:f>
              <c:numCache>
                <c:formatCode>0_ </c:formatCode>
                <c:ptCount val="11"/>
                <c:pt idx="0">
                  <c:v>47.7893125982298</c:v>
                </c:pt>
                <c:pt idx="1">
                  <c:v>4.17114732401357</c:v>
                </c:pt>
                <c:pt idx="2">
                  <c:v>11.3863843163206</c:v>
                </c:pt>
                <c:pt idx="3">
                  <c:v>7.25108225108225</c:v>
                </c:pt>
                <c:pt idx="4">
                  <c:v>3.7823641326826</c:v>
                </c:pt>
                <c:pt idx="5">
                  <c:v>3.41150357073924</c:v>
                </c:pt>
                <c:pt idx="6">
                  <c:v>7.66123473129842</c:v>
                </c:pt>
                <c:pt idx="7">
                  <c:v>3.66862436926131</c:v>
                </c:pt>
                <c:pt idx="8">
                  <c:v>3.54454462734717</c:v>
                </c:pt>
                <c:pt idx="9">
                  <c:v>3.63140044668707</c:v>
                </c:pt>
                <c:pt idx="10">
                  <c:v>3.70240163233794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f4a239-db87-499a-b085-b676f37fe6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YOY of CPI of each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 Y-o-Y increase in CP!'!$D$9</c:f>
              <c:strCache>
                <c:ptCount val="1"/>
                <c:pt idx="0">
                  <c:v>Total 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'2.  Y-o-Y increase in CP!'!$A$10:$C$132</c:f>
              <c:multiLvlStrCache>
                <c:ptCount val="123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  <c:pt idx="48">
                    <c:v>January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April</c:v>
                  </c:pt>
                  <c:pt idx="52">
                    <c:v>May</c:v>
                  </c:pt>
                  <c:pt idx="53">
                    <c:v>June</c:v>
                  </c:pt>
                  <c:pt idx="54">
                    <c:v>July</c:v>
                  </c:pt>
                  <c:pt idx="55">
                    <c:v>August</c:v>
                  </c:pt>
                  <c:pt idx="56">
                    <c:v>September</c:v>
                  </c:pt>
                  <c:pt idx="57">
                    <c:v>October</c:v>
                  </c:pt>
                  <c:pt idx="58">
                    <c:v>November</c:v>
                  </c:pt>
                  <c:pt idx="59">
                    <c:v>December</c:v>
                  </c:pt>
                  <c:pt idx="60">
                    <c:v>January</c:v>
                  </c:pt>
                  <c:pt idx="61">
                    <c:v>February</c:v>
                  </c:pt>
                  <c:pt idx="62">
                    <c:v>March</c:v>
                  </c:pt>
                  <c:pt idx="63">
                    <c:v>April</c:v>
                  </c:pt>
                  <c:pt idx="64">
                    <c:v>May</c:v>
                  </c:pt>
                  <c:pt idx="65">
                    <c:v>June</c:v>
                  </c:pt>
                  <c:pt idx="66">
                    <c:v>July</c:v>
                  </c:pt>
                  <c:pt idx="67">
                    <c:v>August</c:v>
                  </c:pt>
                  <c:pt idx="68">
                    <c:v>September</c:v>
                  </c:pt>
                  <c:pt idx="69">
                    <c:v>October</c:v>
                  </c:pt>
                  <c:pt idx="70">
                    <c:v>November</c:v>
                  </c:pt>
                  <c:pt idx="71">
                    <c:v>December</c:v>
                  </c:pt>
                  <c:pt idx="72">
                    <c:v>January</c:v>
                  </c:pt>
                  <c:pt idx="73">
                    <c:v>February</c:v>
                  </c:pt>
                  <c:pt idx="74">
                    <c:v>March</c:v>
                  </c:pt>
                  <c:pt idx="75">
                    <c:v>May</c:v>
                  </c:pt>
                  <c:pt idx="76">
                    <c:v>June</c:v>
                  </c:pt>
                  <c:pt idx="77">
                    <c:v>July</c:v>
                  </c:pt>
                  <c:pt idx="78">
                    <c:v>August</c:v>
                  </c:pt>
                  <c:pt idx="79">
                    <c:v>September</c:v>
                  </c:pt>
                  <c:pt idx="80">
                    <c:v>October</c:v>
                  </c:pt>
                  <c:pt idx="81">
                    <c:v>November</c:v>
                  </c:pt>
                  <c:pt idx="82">
                    <c:v>December</c:v>
                  </c:pt>
                  <c:pt idx="83">
                    <c:v>January</c:v>
                  </c:pt>
                  <c:pt idx="84">
                    <c:v>February</c:v>
                  </c:pt>
                  <c:pt idx="85">
                    <c:v>March</c:v>
                  </c:pt>
                  <c:pt idx="86">
                    <c:v>April</c:v>
                  </c:pt>
                  <c:pt idx="87">
                    <c:v>June</c:v>
                  </c:pt>
                  <c:pt idx="88">
                    <c:v>July</c:v>
                  </c:pt>
                  <c:pt idx="89">
                    <c:v>August</c:v>
                  </c:pt>
                  <c:pt idx="90">
                    <c:v>September</c:v>
                  </c:pt>
                  <c:pt idx="91">
                    <c:v>October</c:v>
                  </c:pt>
                  <c:pt idx="92">
                    <c:v>November</c:v>
                  </c:pt>
                  <c:pt idx="93">
                    <c:v>December</c:v>
                  </c:pt>
                  <c:pt idx="94">
                    <c:v>January</c:v>
                  </c:pt>
                  <c:pt idx="95">
                    <c:v>February</c:v>
                  </c:pt>
                  <c:pt idx="96">
                    <c:v>March</c:v>
                  </c:pt>
                  <c:pt idx="97">
                    <c:v>April</c:v>
                  </c:pt>
                  <c:pt idx="98">
                    <c:v>May</c:v>
                  </c:pt>
                  <c:pt idx="99">
                    <c:v>June</c:v>
                  </c:pt>
                  <c:pt idx="100">
                    <c:v>July</c:v>
                  </c:pt>
                  <c:pt idx="101">
                    <c:v>August</c:v>
                  </c:pt>
                  <c:pt idx="102">
                    <c:v>September</c:v>
                  </c:pt>
                  <c:pt idx="103">
                    <c:v>October</c:v>
                  </c:pt>
                  <c:pt idx="104">
                    <c:v>November</c:v>
                  </c:pt>
                  <c:pt idx="105">
                    <c:v>December</c:v>
                  </c:pt>
                  <c:pt idx="106">
                    <c:v>January</c:v>
                  </c:pt>
                  <c:pt idx="107">
                    <c:v>February</c:v>
                  </c:pt>
                  <c:pt idx="108">
                    <c:v>March</c:v>
                  </c:pt>
                  <c:pt idx="109">
                    <c:v>April</c:v>
                  </c:pt>
                  <c:pt idx="110">
                    <c:v>May</c:v>
                  </c:pt>
                  <c:pt idx="111">
                    <c:v>June</c:v>
                  </c:pt>
                  <c:pt idx="112">
                    <c:v>July</c:v>
                  </c:pt>
                  <c:pt idx="113">
                    <c:v>August</c:v>
                  </c:pt>
                  <c:pt idx="114">
                    <c:v>September</c:v>
                  </c:pt>
                  <c:pt idx="115">
                    <c:v>October</c:v>
                  </c:pt>
                  <c:pt idx="116">
                    <c:v>November</c:v>
                  </c:pt>
                  <c:pt idx="117">
                    <c:v>December</c:v>
                  </c:pt>
                  <c:pt idx="118">
                    <c:v>January</c:v>
                  </c:pt>
                  <c:pt idx="119">
                    <c:v>February</c:v>
                  </c:pt>
                  <c:pt idx="120">
                    <c:v>March</c:v>
                  </c:pt>
                  <c:pt idx="121">
                    <c:v>April</c:v>
                  </c:pt>
                  <c:pt idx="122">
                    <c:v>May</c:v>
                  </c:pt>
                </c:lvl>
                <c:lvl>
                  <c:pt idx="0">
                    <c:v>2013</c:v>
                  </c:pt>
                  <c:pt idx="1">
                    <c:v>2013</c:v>
                  </c:pt>
                  <c:pt idx="2">
                    <c:v>2013</c:v>
                  </c:pt>
                  <c:pt idx="3">
                    <c:v>2013</c:v>
                  </c:pt>
                  <c:pt idx="4">
                    <c:v>2013</c:v>
                  </c:pt>
                  <c:pt idx="5">
                    <c:v>2013</c:v>
                  </c:pt>
                  <c:pt idx="6">
                    <c:v>2013</c:v>
                  </c:pt>
                  <c:pt idx="7">
                    <c:v>2013</c:v>
                  </c:pt>
                  <c:pt idx="8">
                    <c:v>2013</c:v>
                  </c:pt>
                  <c:pt idx="9">
                    <c:v>2013</c:v>
                  </c:pt>
                  <c:pt idx="10">
                    <c:v>2013</c:v>
                  </c:pt>
                  <c:pt idx="11">
                    <c:v>2013</c:v>
                  </c:pt>
                  <c:pt idx="12">
                    <c:v>2014</c:v>
                  </c:pt>
                  <c:pt idx="13">
                    <c:v>2014</c:v>
                  </c:pt>
                  <c:pt idx="14">
                    <c:v>2014</c:v>
                  </c:pt>
                  <c:pt idx="15">
                    <c:v>2014</c:v>
                  </c:pt>
                  <c:pt idx="16">
                    <c:v>2014</c:v>
                  </c:pt>
                  <c:pt idx="17">
                    <c:v>2014</c:v>
                  </c:pt>
                  <c:pt idx="18">
                    <c:v>2014</c:v>
                  </c:pt>
                  <c:pt idx="19">
                    <c:v>2014</c:v>
                  </c:pt>
                  <c:pt idx="20">
                    <c:v>2014</c:v>
                  </c:pt>
                  <c:pt idx="21">
                    <c:v>2014</c:v>
                  </c:pt>
                  <c:pt idx="22">
                    <c:v>2014</c:v>
                  </c:pt>
                  <c:pt idx="23">
                    <c:v>2014</c:v>
                  </c:pt>
                  <c:pt idx="24">
                    <c:v>2015</c:v>
                  </c:pt>
                  <c:pt idx="25">
                    <c:v>2015</c:v>
                  </c:pt>
                  <c:pt idx="26">
                    <c:v>2015</c:v>
                  </c:pt>
                  <c:pt idx="27">
                    <c:v>2015</c:v>
                  </c:pt>
                  <c:pt idx="28">
                    <c:v>2015</c:v>
                  </c:pt>
                  <c:pt idx="29">
                    <c:v>2015</c:v>
                  </c:pt>
                  <c:pt idx="30">
                    <c:v>2015</c:v>
                  </c:pt>
                  <c:pt idx="31">
                    <c:v>2015</c:v>
                  </c:pt>
                  <c:pt idx="32">
                    <c:v>2015</c:v>
                  </c:pt>
                  <c:pt idx="33">
                    <c:v>2015</c:v>
                  </c:pt>
                  <c:pt idx="34">
                    <c:v>2015</c:v>
                  </c:pt>
                  <c:pt idx="35">
                    <c:v>2015</c:v>
                  </c:pt>
                  <c:pt idx="36">
                    <c:v>2016</c:v>
                  </c:pt>
                  <c:pt idx="37">
                    <c:v>2016</c:v>
                  </c:pt>
                  <c:pt idx="38">
                    <c:v>2016</c:v>
                  </c:pt>
                  <c:pt idx="39">
                    <c:v>2016</c:v>
                  </c:pt>
                  <c:pt idx="40">
                    <c:v>2016</c:v>
                  </c:pt>
                  <c:pt idx="41">
                    <c:v>2016</c:v>
                  </c:pt>
                  <c:pt idx="42">
                    <c:v>2016</c:v>
                  </c:pt>
                  <c:pt idx="43">
                    <c:v>2016</c:v>
                  </c:pt>
                  <c:pt idx="44">
                    <c:v>2016</c:v>
                  </c:pt>
                  <c:pt idx="45">
                    <c:v>2016</c:v>
                  </c:pt>
                  <c:pt idx="46">
                    <c:v>2016</c:v>
                  </c:pt>
                  <c:pt idx="47">
                    <c:v>2016</c:v>
                  </c:pt>
                  <c:pt idx="48">
                    <c:v>2017</c:v>
                  </c:pt>
                  <c:pt idx="49">
                    <c:v>2017</c:v>
                  </c:pt>
                  <c:pt idx="50">
                    <c:v>2017</c:v>
                  </c:pt>
                  <c:pt idx="51">
                    <c:v>2017</c:v>
                  </c:pt>
                  <c:pt idx="52">
                    <c:v>2017</c:v>
                  </c:pt>
                  <c:pt idx="53">
                    <c:v>2017</c:v>
                  </c:pt>
                  <c:pt idx="54">
                    <c:v>2017</c:v>
                  </c:pt>
                  <c:pt idx="55">
                    <c:v>2017</c:v>
                  </c:pt>
                  <c:pt idx="56">
                    <c:v>2017</c:v>
                  </c:pt>
                  <c:pt idx="57">
                    <c:v>2017</c:v>
                  </c:pt>
                  <c:pt idx="58">
                    <c:v>2017</c:v>
                  </c:pt>
                  <c:pt idx="59">
                    <c:v>2017</c:v>
                  </c:pt>
                  <c:pt idx="60">
                    <c:v>2018</c:v>
                  </c:pt>
                  <c:pt idx="61">
                    <c:v>2018</c:v>
                  </c:pt>
                  <c:pt idx="62">
                    <c:v>2018</c:v>
                  </c:pt>
                  <c:pt idx="63">
                    <c:v>2018</c:v>
                  </c:pt>
                  <c:pt idx="64">
                    <c:v>2018</c:v>
                  </c:pt>
                  <c:pt idx="65">
                    <c:v>2018</c:v>
                  </c:pt>
                  <c:pt idx="66">
                    <c:v>2018</c:v>
                  </c:pt>
                  <c:pt idx="67">
                    <c:v>2018</c:v>
                  </c:pt>
                  <c:pt idx="68">
                    <c:v>2018</c:v>
                  </c:pt>
                  <c:pt idx="69">
                    <c:v>2018</c:v>
                  </c:pt>
                  <c:pt idx="70">
                    <c:v>2018</c:v>
                  </c:pt>
                  <c:pt idx="71">
                    <c:v>2018</c:v>
                  </c:pt>
                  <c:pt idx="72">
                    <c:v>2019</c:v>
                  </c:pt>
                  <c:pt idx="73">
                    <c:v>2019</c:v>
                  </c:pt>
                  <c:pt idx="74">
                    <c:v>2019</c:v>
                  </c:pt>
                  <c:pt idx="75">
                    <c:v>2019</c:v>
                  </c:pt>
                  <c:pt idx="76">
                    <c:v>2019</c:v>
                  </c:pt>
                  <c:pt idx="77">
                    <c:v>2019</c:v>
                  </c:pt>
                  <c:pt idx="78">
                    <c:v>2019</c:v>
                  </c:pt>
                  <c:pt idx="79">
                    <c:v>2019</c:v>
                  </c:pt>
                  <c:pt idx="80">
                    <c:v>2019</c:v>
                  </c:pt>
                  <c:pt idx="81">
                    <c:v>2019</c:v>
                  </c:pt>
                  <c:pt idx="82">
                    <c:v>2019</c:v>
                  </c:pt>
                  <c:pt idx="83">
                    <c:v>2020</c:v>
                  </c:pt>
                  <c:pt idx="84">
                    <c:v>2020</c:v>
                  </c:pt>
                  <c:pt idx="85">
                    <c:v>2020</c:v>
                  </c:pt>
                  <c:pt idx="86">
                    <c:v>2020</c:v>
                  </c:pt>
                  <c:pt idx="87">
                    <c:v>2020</c:v>
                  </c:pt>
                  <c:pt idx="88">
                    <c:v>2020</c:v>
                  </c:pt>
                  <c:pt idx="89">
                    <c:v>2020</c:v>
                  </c:pt>
                  <c:pt idx="90">
                    <c:v>2020</c:v>
                  </c:pt>
                  <c:pt idx="91">
                    <c:v>2020</c:v>
                  </c:pt>
                  <c:pt idx="92">
                    <c:v>2020</c:v>
                  </c:pt>
                  <c:pt idx="93">
                    <c:v>2020</c:v>
                  </c:pt>
                  <c:pt idx="94">
                    <c:v>2021</c:v>
                  </c:pt>
                  <c:pt idx="95">
                    <c:v>2021</c:v>
                  </c:pt>
                  <c:pt idx="96">
                    <c:v>2021</c:v>
                  </c:pt>
                  <c:pt idx="97">
                    <c:v>2021</c:v>
                  </c:pt>
                  <c:pt idx="98">
                    <c:v>2021</c:v>
                  </c:pt>
                  <c:pt idx="99">
                    <c:v>2021</c:v>
                  </c:pt>
                  <c:pt idx="100">
                    <c:v>2021</c:v>
                  </c:pt>
                  <c:pt idx="101">
                    <c:v>2021</c:v>
                  </c:pt>
                  <c:pt idx="102">
                    <c:v>2021</c:v>
                  </c:pt>
                  <c:pt idx="103">
                    <c:v>2021</c:v>
                  </c:pt>
                  <c:pt idx="104">
                    <c:v>2021</c:v>
                  </c:pt>
                  <c:pt idx="105">
                    <c:v>2021</c:v>
                  </c:pt>
                  <c:pt idx="106">
                    <c:v>2022</c:v>
                  </c:pt>
                  <c:pt idx="107">
                    <c:v>2022</c:v>
                  </c:pt>
                  <c:pt idx="108">
                    <c:v>2022</c:v>
                  </c:pt>
                  <c:pt idx="109">
                    <c:v>2022</c:v>
                  </c:pt>
                  <c:pt idx="110">
                    <c:v>2022</c:v>
                  </c:pt>
                  <c:pt idx="111">
                    <c:v>2022</c:v>
                  </c:pt>
                  <c:pt idx="112">
                    <c:v>2022</c:v>
                  </c:pt>
                  <c:pt idx="113">
                    <c:v>2022</c:v>
                  </c:pt>
                  <c:pt idx="114">
                    <c:v>2022</c:v>
                  </c:pt>
                  <c:pt idx="115">
                    <c:v>2022</c:v>
                  </c:pt>
                  <c:pt idx="116">
                    <c:v>2022</c:v>
                  </c:pt>
                  <c:pt idx="117">
                    <c:v>2022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</c:lvl>
                <c:lvl>
                  <c:pt idx="0">
                    <c:v>Rural+Urban</c:v>
                  </c:pt>
                  <c:pt idx="1">
                    <c:v>Rural+Urban</c:v>
                  </c:pt>
                  <c:pt idx="2">
                    <c:v>Rural+Urban</c:v>
                  </c:pt>
                  <c:pt idx="3">
                    <c:v>Rural+Urban</c:v>
                  </c:pt>
                  <c:pt idx="4">
                    <c:v>Rural+Urban</c:v>
                  </c:pt>
                  <c:pt idx="5">
                    <c:v>Rural+Urban</c:v>
                  </c:pt>
                  <c:pt idx="6">
                    <c:v>Rural+Urban</c:v>
                  </c:pt>
                  <c:pt idx="7">
                    <c:v>Rural+Urban</c:v>
                  </c:pt>
                  <c:pt idx="8">
                    <c:v>Rural+Urban</c:v>
                  </c:pt>
                  <c:pt idx="9">
                    <c:v>Rural+Urban</c:v>
                  </c:pt>
                  <c:pt idx="10">
                    <c:v>Rural+Urban</c:v>
                  </c:pt>
                  <c:pt idx="11">
                    <c:v>Rural+Urban</c:v>
                  </c:pt>
                  <c:pt idx="12">
                    <c:v>Rural+Urban</c:v>
                  </c:pt>
                  <c:pt idx="13">
                    <c:v>Rural+Urban</c:v>
                  </c:pt>
                  <c:pt idx="14">
                    <c:v>Rural+Urban</c:v>
                  </c:pt>
                  <c:pt idx="15">
                    <c:v>Rural+Urban</c:v>
                  </c:pt>
                  <c:pt idx="16">
                    <c:v>Rural+Urban</c:v>
                  </c:pt>
                  <c:pt idx="17">
                    <c:v>Rural+Urban</c:v>
                  </c:pt>
                  <c:pt idx="18">
                    <c:v>Rural+Urban</c:v>
                  </c:pt>
                  <c:pt idx="19">
                    <c:v>Rural+Urban</c:v>
                  </c:pt>
                  <c:pt idx="20">
                    <c:v>Rural+Urban</c:v>
                  </c:pt>
                  <c:pt idx="21">
                    <c:v>Rural+Urban</c:v>
                  </c:pt>
                  <c:pt idx="22">
                    <c:v>Rural+Urban</c:v>
                  </c:pt>
                  <c:pt idx="23">
                    <c:v>Rural+Urban</c:v>
                  </c:pt>
                  <c:pt idx="24">
                    <c:v>Rural+Urban</c:v>
                  </c:pt>
                  <c:pt idx="25">
                    <c:v>Rural+Urban</c:v>
                  </c:pt>
                  <c:pt idx="26">
                    <c:v>Rural+Urban</c:v>
                  </c:pt>
                  <c:pt idx="27">
                    <c:v>Rural+Urban</c:v>
                  </c:pt>
                  <c:pt idx="28">
                    <c:v>Rural+Urban</c:v>
                  </c:pt>
                  <c:pt idx="29">
                    <c:v>Rural+Urban</c:v>
                  </c:pt>
                  <c:pt idx="30">
                    <c:v>Rural+Urban</c:v>
                  </c:pt>
                  <c:pt idx="31">
                    <c:v>Rural+Urban</c:v>
                  </c:pt>
                  <c:pt idx="32">
                    <c:v>Rural+Urban</c:v>
                  </c:pt>
                  <c:pt idx="33">
                    <c:v>Rural+Urban</c:v>
                  </c:pt>
                  <c:pt idx="34">
                    <c:v>Rural+Urban</c:v>
                  </c:pt>
                  <c:pt idx="35">
                    <c:v>Rural+Urban</c:v>
                  </c:pt>
                  <c:pt idx="36">
                    <c:v>Rural+Urban</c:v>
                  </c:pt>
                  <c:pt idx="37">
                    <c:v>Rural+Urban</c:v>
                  </c:pt>
                  <c:pt idx="38">
                    <c:v>Rural+Urban</c:v>
                  </c:pt>
                  <c:pt idx="39">
                    <c:v>Rural+Urban</c:v>
                  </c:pt>
                  <c:pt idx="40">
                    <c:v>Rural+Urban</c:v>
                  </c:pt>
                  <c:pt idx="41">
                    <c:v>Rural+Urban</c:v>
                  </c:pt>
                  <c:pt idx="42">
                    <c:v>Rural+Urban</c:v>
                  </c:pt>
                  <c:pt idx="43">
                    <c:v>Rural+Urban</c:v>
                  </c:pt>
                  <c:pt idx="44">
                    <c:v>Rural+Urban</c:v>
                  </c:pt>
                  <c:pt idx="45">
                    <c:v>Rural+Urban</c:v>
                  </c:pt>
                  <c:pt idx="46">
                    <c:v>Rural+Urban</c:v>
                  </c:pt>
                  <c:pt idx="47">
                    <c:v>Rural+Urban</c:v>
                  </c:pt>
                  <c:pt idx="48">
                    <c:v>Rural+Urban</c:v>
                  </c:pt>
                  <c:pt idx="49">
                    <c:v>Rural+Urban</c:v>
                  </c:pt>
                  <c:pt idx="50">
                    <c:v>Rural+Urban</c:v>
                  </c:pt>
                  <c:pt idx="51">
                    <c:v>Rural+Urban</c:v>
                  </c:pt>
                  <c:pt idx="52">
                    <c:v>Rural+Urban</c:v>
                  </c:pt>
                  <c:pt idx="53">
                    <c:v>Rural+Urban</c:v>
                  </c:pt>
                  <c:pt idx="54">
                    <c:v>Rural+Urban</c:v>
                  </c:pt>
                  <c:pt idx="55">
                    <c:v>Rural+Urban</c:v>
                  </c:pt>
                  <c:pt idx="56">
                    <c:v>Rural+Urban</c:v>
                  </c:pt>
                  <c:pt idx="57">
                    <c:v>Rural+Urban</c:v>
                  </c:pt>
                  <c:pt idx="58">
                    <c:v>Rural+Urban</c:v>
                  </c:pt>
                  <c:pt idx="59">
                    <c:v>Rural+Urban</c:v>
                  </c:pt>
                  <c:pt idx="60">
                    <c:v>Rural+Urban</c:v>
                  </c:pt>
                  <c:pt idx="61">
                    <c:v>Rural+Urban</c:v>
                  </c:pt>
                  <c:pt idx="62">
                    <c:v>Rural+Urban</c:v>
                  </c:pt>
                  <c:pt idx="63">
                    <c:v>Rural+Urban</c:v>
                  </c:pt>
                  <c:pt idx="64">
                    <c:v>Rural+Urban</c:v>
                  </c:pt>
                  <c:pt idx="65">
                    <c:v>Rural+Urban</c:v>
                  </c:pt>
                  <c:pt idx="66">
                    <c:v>Rural+Urban</c:v>
                  </c:pt>
                  <c:pt idx="67">
                    <c:v>Rural+Urban</c:v>
                  </c:pt>
                  <c:pt idx="68">
                    <c:v>Rural+Urban</c:v>
                  </c:pt>
                  <c:pt idx="69">
                    <c:v>Rural+Urban</c:v>
                  </c:pt>
                  <c:pt idx="70">
                    <c:v>Rural+Urban</c:v>
                  </c:pt>
                  <c:pt idx="71">
                    <c:v>Rural+Urban</c:v>
                  </c:pt>
                  <c:pt idx="72">
                    <c:v>Rural+Urban</c:v>
                  </c:pt>
                  <c:pt idx="73">
                    <c:v>Rural+Urban</c:v>
                  </c:pt>
                  <c:pt idx="74">
                    <c:v>Rural+Urban</c:v>
                  </c:pt>
                  <c:pt idx="75">
                    <c:v>Rural+Urban</c:v>
                  </c:pt>
                  <c:pt idx="76">
                    <c:v>Rural+Urban</c:v>
                  </c:pt>
                  <c:pt idx="77">
                    <c:v>Rural+Urban</c:v>
                  </c:pt>
                  <c:pt idx="78">
                    <c:v>Rural+Urban</c:v>
                  </c:pt>
                  <c:pt idx="79">
                    <c:v>Rural+Urban</c:v>
                  </c:pt>
                  <c:pt idx="80">
                    <c:v>Rural+Urban</c:v>
                  </c:pt>
                  <c:pt idx="81">
                    <c:v>Rural+Urban</c:v>
                  </c:pt>
                  <c:pt idx="82">
                    <c:v>Rural+Urban</c:v>
                  </c:pt>
                  <c:pt idx="83">
                    <c:v>Rural+Urban</c:v>
                  </c:pt>
                  <c:pt idx="84">
                    <c:v>Rural+Urban</c:v>
                  </c:pt>
                  <c:pt idx="85">
                    <c:v>Rural+Urban</c:v>
                  </c:pt>
                  <c:pt idx="86">
                    <c:v>Rural+Urban</c:v>
                  </c:pt>
                  <c:pt idx="87">
                    <c:v>Rural+Urban</c:v>
                  </c:pt>
                  <c:pt idx="88">
                    <c:v>Rural+Urban</c:v>
                  </c:pt>
                  <c:pt idx="89">
                    <c:v>Rural+Urban</c:v>
                  </c:pt>
                  <c:pt idx="90">
                    <c:v>Rural+Urban</c:v>
                  </c:pt>
                  <c:pt idx="91">
                    <c:v>Rural+Urban</c:v>
                  </c:pt>
                  <c:pt idx="92">
                    <c:v>Rural+Urban</c:v>
                  </c:pt>
                  <c:pt idx="93">
                    <c:v>Rural+Urban</c:v>
                  </c:pt>
                  <c:pt idx="94">
                    <c:v>Rural+Urban</c:v>
                  </c:pt>
                  <c:pt idx="95">
                    <c:v>Rural+Urban</c:v>
                  </c:pt>
                  <c:pt idx="96">
                    <c:v>Rural+Urban</c:v>
                  </c:pt>
                  <c:pt idx="97">
                    <c:v>Rural+Urban</c:v>
                  </c:pt>
                  <c:pt idx="98">
                    <c:v>Rural+Urban</c:v>
                  </c:pt>
                  <c:pt idx="99">
                    <c:v>Rural+Urban</c:v>
                  </c:pt>
                  <c:pt idx="100">
                    <c:v>Rural+Urban</c:v>
                  </c:pt>
                  <c:pt idx="101">
                    <c:v>Rural+Urban</c:v>
                  </c:pt>
                  <c:pt idx="102">
                    <c:v>Rural+Urban</c:v>
                  </c:pt>
                  <c:pt idx="103">
                    <c:v>Rural+Urban</c:v>
                  </c:pt>
                  <c:pt idx="104">
                    <c:v>Rural+Urban</c:v>
                  </c:pt>
                  <c:pt idx="105">
                    <c:v>Rural+Urban</c:v>
                  </c:pt>
                  <c:pt idx="106">
                    <c:v>Rural+Urban</c:v>
                  </c:pt>
                  <c:pt idx="107">
                    <c:v>Rural+Urban</c:v>
                  </c:pt>
                  <c:pt idx="108">
                    <c:v>Rural+Urban</c:v>
                  </c:pt>
                  <c:pt idx="109">
                    <c:v>Rural+Urban</c:v>
                  </c:pt>
                  <c:pt idx="110">
                    <c:v>Rural+Urban</c:v>
                  </c:pt>
                  <c:pt idx="111">
                    <c:v>Rural+Urban</c:v>
                  </c:pt>
                  <c:pt idx="112">
                    <c:v>Rural+Urban</c:v>
                  </c:pt>
                  <c:pt idx="113">
                    <c:v>Rural+Urban</c:v>
                  </c:pt>
                  <c:pt idx="114">
                    <c:v>Rural+Urban</c:v>
                  </c:pt>
                  <c:pt idx="115">
                    <c:v>Rural+Urban</c:v>
                  </c:pt>
                  <c:pt idx="116">
                    <c:v>Rural+Urban</c:v>
                  </c:pt>
                  <c:pt idx="117">
                    <c:v>Rural+Urban</c:v>
                  </c:pt>
                  <c:pt idx="118">
                    <c:v>Rural+Urban</c:v>
                  </c:pt>
                  <c:pt idx="119">
                    <c:v>Rural+Urban</c:v>
                  </c:pt>
                  <c:pt idx="120">
                    <c:v>Rural+Urban</c:v>
                  </c:pt>
                  <c:pt idx="121">
                    <c:v>Rural+Urban</c:v>
                  </c:pt>
                  <c:pt idx="122">
                    <c:v>Rural+Urban</c:v>
                  </c:pt>
                </c:lvl>
              </c:multiLvlStrCache>
            </c:multiLvlStrRef>
          </c:cat>
          <c:val>
            <c:numRef>
              <c:f>'2.  Y-o-Y increase in CP!'!$D$10:$D$132</c:f>
              <c:numCache>
                <c:formatCode>General</c:formatCode>
                <c:ptCount val="123"/>
                <c:pt idx="0">
                  <c:v>2833.9</c:v>
                </c:pt>
                <c:pt idx="1">
                  <c:v>2851.6</c:v>
                </c:pt>
                <c:pt idx="2">
                  <c:v>2856.1</c:v>
                </c:pt>
                <c:pt idx="3">
                  <c:v>2866.9</c:v>
                </c:pt>
                <c:pt idx="4">
                  <c:v>2884.5</c:v>
                </c:pt>
                <c:pt idx="5">
                  <c:v>2937.1</c:v>
                </c:pt>
                <c:pt idx="6">
                  <c:v>2975.8</c:v>
                </c:pt>
                <c:pt idx="7">
                  <c:v>3004.7</c:v>
                </c:pt>
                <c:pt idx="8">
                  <c:v>3033.6</c:v>
                </c:pt>
                <c:pt idx="9">
                  <c:v>3060</c:v>
                </c:pt>
                <c:pt idx="10">
                  <c:v>3098.3</c:v>
                </c:pt>
                <c:pt idx="11">
                  <c:v>3070.7</c:v>
                </c:pt>
                <c:pt idx="12">
                  <c:v>3055.5</c:v>
                </c:pt>
                <c:pt idx="13">
                  <c:v>3055</c:v>
                </c:pt>
                <c:pt idx="14">
                  <c:v>3069</c:v>
                </c:pt>
                <c:pt idx="15">
                  <c:v>3091</c:v>
                </c:pt>
                <c:pt idx="16">
                  <c:v>3111</c:v>
                </c:pt>
                <c:pt idx="17">
                  <c:v>3133.7</c:v>
                </c:pt>
                <c:pt idx="18">
                  <c:v>3190.4</c:v>
                </c:pt>
                <c:pt idx="19">
                  <c:v>3216.5</c:v>
                </c:pt>
                <c:pt idx="20">
                  <c:v>3212.1</c:v>
                </c:pt>
                <c:pt idx="21">
                  <c:v>3214.3</c:v>
                </c:pt>
                <c:pt idx="22">
                  <c:v>3218.6</c:v>
                </c:pt>
                <c:pt idx="23">
                  <c:v>3209.2</c:v>
                </c:pt>
                <c:pt idx="24">
                  <c:v>3213.2</c:v>
                </c:pt>
                <c:pt idx="25">
                  <c:v>3220.9</c:v>
                </c:pt>
                <c:pt idx="26">
                  <c:v>3227.4</c:v>
                </c:pt>
                <c:pt idx="27">
                  <c:v>3241.4</c:v>
                </c:pt>
                <c:pt idx="28">
                  <c:v>3266.1</c:v>
                </c:pt>
                <c:pt idx="29">
                  <c:v>3310.9</c:v>
                </c:pt>
                <c:pt idx="30">
                  <c:v>3323.8</c:v>
                </c:pt>
                <c:pt idx="31">
                  <c:v>3349.3</c:v>
                </c:pt>
                <c:pt idx="32">
                  <c:v>3364.8</c:v>
                </c:pt>
                <c:pt idx="33">
                  <c:v>3392.1</c:v>
                </c:pt>
                <c:pt idx="34">
                  <c:v>3412.4</c:v>
                </c:pt>
                <c:pt idx="35">
                  <c:v>3408.9</c:v>
                </c:pt>
                <c:pt idx="36">
                  <c:v>3420.6</c:v>
                </c:pt>
                <c:pt idx="37">
                  <c:v>3415.5</c:v>
                </c:pt>
                <c:pt idx="38">
                  <c:v>3415.9</c:v>
                </c:pt>
                <c:pt idx="39">
                  <c:v>3450.5</c:v>
                </c:pt>
                <c:pt idx="40">
                  <c:v>3488.2</c:v>
                </c:pt>
                <c:pt idx="41">
                  <c:v>3527.3</c:v>
                </c:pt>
                <c:pt idx="42">
                  <c:v>3558.4</c:v>
                </c:pt>
                <c:pt idx="43">
                  <c:v>3558.9</c:v>
                </c:pt>
                <c:pt idx="44">
                  <c:v>3551.8</c:v>
                </c:pt>
                <c:pt idx="45">
                  <c:v>3563.2</c:v>
                </c:pt>
                <c:pt idx="46">
                  <c:v>3561.1</c:v>
                </c:pt>
                <c:pt idx="47">
                  <c:v>3545.2</c:v>
                </c:pt>
                <c:pt idx="48">
                  <c:v>3537.3</c:v>
                </c:pt>
                <c:pt idx="49">
                  <c:v>3538.6</c:v>
                </c:pt>
                <c:pt idx="50">
                  <c:v>3541.4</c:v>
                </c:pt>
                <c:pt idx="51">
                  <c:v>3545.4</c:v>
                </c:pt>
                <c:pt idx="52">
                  <c:v>3550.3</c:v>
                </c:pt>
                <c:pt idx="53">
                  <c:v>3567.5</c:v>
                </c:pt>
                <c:pt idx="54">
                  <c:v>3613.7</c:v>
                </c:pt>
                <c:pt idx="55">
                  <c:v>3642.3</c:v>
                </c:pt>
                <c:pt idx="56">
                  <c:v>3637.9</c:v>
                </c:pt>
                <c:pt idx="57">
                  <c:v>3656.7</c:v>
                </c:pt>
                <c:pt idx="58">
                  <c:v>3700.5</c:v>
                </c:pt>
                <c:pt idx="59">
                  <c:v>3691.2</c:v>
                </c:pt>
                <c:pt idx="60">
                  <c:v>3682.4</c:v>
                </c:pt>
                <c:pt idx="61">
                  <c:v>3667.1</c:v>
                </c:pt>
                <c:pt idx="62">
                  <c:v>3670.5</c:v>
                </c:pt>
                <c:pt idx="63">
                  <c:v>3683.4</c:v>
                </c:pt>
                <c:pt idx="64">
                  <c:v>3695.9</c:v>
                </c:pt>
                <c:pt idx="65">
                  <c:v>3717.1</c:v>
                </c:pt>
                <c:pt idx="66">
                  <c:v>3747</c:v>
                </c:pt>
                <c:pt idx="67">
                  <c:v>3759.7</c:v>
                </c:pt>
                <c:pt idx="68">
                  <c:v>3750.2</c:v>
                </c:pt>
                <c:pt idx="69">
                  <c:v>3768.2</c:v>
                </c:pt>
                <c:pt idx="70">
                  <c:v>3767.3</c:v>
                </c:pt>
                <c:pt idx="71">
                  <c:v>3757</c:v>
                </c:pt>
                <c:pt idx="72">
                  <c:v>3745</c:v>
                </c:pt>
                <c:pt idx="73">
                  <c:v>3753.3</c:v>
                </c:pt>
                <c:pt idx="74">
                  <c:v>3763.7</c:v>
                </c:pt>
                <c:pt idx="75">
                  <c:v>3802.4</c:v>
                </c:pt>
                <c:pt idx="76">
                  <c:v>3829.7</c:v>
                </c:pt>
                <c:pt idx="77">
                  <c:v>3861.2</c:v>
                </c:pt>
                <c:pt idx="78">
                  <c:v>3878.2</c:v>
                </c:pt>
                <c:pt idx="79">
                  <c:v>3895.7</c:v>
                </c:pt>
                <c:pt idx="80">
                  <c:v>3930.7</c:v>
                </c:pt>
                <c:pt idx="81">
                  <c:v>3963.7</c:v>
                </c:pt>
                <c:pt idx="82">
                  <c:v>4009</c:v>
                </c:pt>
                <c:pt idx="83">
                  <c:v>4012.4</c:v>
                </c:pt>
                <c:pt idx="84">
                  <c:v>3989.6</c:v>
                </c:pt>
                <c:pt idx="85">
                  <c:v>3978.9</c:v>
                </c:pt>
                <c:pt idx="86">
                  <c:v>4022.9</c:v>
                </c:pt>
                <c:pt idx="87">
                  <c:v>4086.1</c:v>
                </c:pt>
                <c:pt idx="88">
                  <c:v>4086.1</c:v>
                </c:pt>
                <c:pt idx="89">
                  <c:v>4128.1</c:v>
                </c:pt>
                <c:pt idx="90">
                  <c:v>4151.4</c:v>
                </c:pt>
                <c:pt idx="91">
                  <c:v>4197.5</c:v>
                </c:pt>
                <c:pt idx="92">
                  <c:v>4253.8</c:v>
                </c:pt>
                <c:pt idx="93">
                  <c:v>4275.3</c:v>
                </c:pt>
                <c:pt idx="94">
                  <c:v>4250.4</c:v>
                </c:pt>
                <c:pt idx="95">
                  <c:v>4234.3</c:v>
                </c:pt>
                <c:pt idx="96">
                  <c:v>4241.3</c:v>
                </c:pt>
                <c:pt idx="97">
                  <c:v>4276.3</c:v>
                </c:pt>
                <c:pt idx="98">
                  <c:v>4355.1</c:v>
                </c:pt>
                <c:pt idx="99">
                  <c:v>4385.8</c:v>
                </c:pt>
                <c:pt idx="100">
                  <c:v>4413.7</c:v>
                </c:pt>
                <c:pt idx="101">
                  <c:v>4426.3</c:v>
                </c:pt>
                <c:pt idx="102">
                  <c:v>4426.5</c:v>
                </c:pt>
                <c:pt idx="103">
                  <c:v>4475.3</c:v>
                </c:pt>
                <c:pt idx="104">
                  <c:v>4503.9</c:v>
                </c:pt>
                <c:pt idx="105">
                  <c:v>4497.3</c:v>
                </c:pt>
                <c:pt idx="106">
                  <c:v>4490.5</c:v>
                </c:pt>
                <c:pt idx="107">
                  <c:v>4500.4</c:v>
                </c:pt>
                <c:pt idx="108">
                  <c:v>4540.7</c:v>
                </c:pt>
                <c:pt idx="109">
                  <c:v>4598.2</c:v>
                </c:pt>
                <c:pt idx="110">
                  <c:v>4637.3</c:v>
                </c:pt>
                <c:pt idx="111">
                  <c:v>4669.2</c:v>
                </c:pt>
                <c:pt idx="112">
                  <c:v>4689.5</c:v>
                </c:pt>
                <c:pt idx="113">
                  <c:v>4703.7</c:v>
                </c:pt>
                <c:pt idx="114">
                  <c:v>4727.1</c:v>
                </c:pt>
                <c:pt idx="115">
                  <c:v>4756.4</c:v>
                </c:pt>
                <c:pt idx="116">
                  <c:v>4765.8</c:v>
                </c:pt>
                <c:pt idx="117">
                  <c:v>4760.5</c:v>
                </c:pt>
                <c:pt idx="118">
                  <c:v>4781.8</c:v>
                </c:pt>
                <c:pt idx="119">
                  <c:v>4784.6</c:v>
                </c:pt>
                <c:pt idx="120">
                  <c:v>4784.4</c:v>
                </c:pt>
                <c:pt idx="121">
                  <c:v>4807.2</c:v>
                </c:pt>
                <c:pt idx="122">
                  <c:v>4833.5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'2.  Y-o-Y increase in CP!'!$E$9</c:f>
              <c:strCache>
                <c:ptCount val="1"/>
                <c:pt idx="0">
                  <c:v>CPI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'2.  Y-o-Y increase in CP!'!$A$10:$C$132</c:f>
              <c:multiLvlStrCache>
                <c:ptCount val="123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  <c:pt idx="48">
                    <c:v>January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April</c:v>
                  </c:pt>
                  <c:pt idx="52">
                    <c:v>May</c:v>
                  </c:pt>
                  <c:pt idx="53">
                    <c:v>June</c:v>
                  </c:pt>
                  <c:pt idx="54">
                    <c:v>July</c:v>
                  </c:pt>
                  <c:pt idx="55">
                    <c:v>August</c:v>
                  </c:pt>
                  <c:pt idx="56">
                    <c:v>September</c:v>
                  </c:pt>
                  <c:pt idx="57">
                    <c:v>October</c:v>
                  </c:pt>
                  <c:pt idx="58">
                    <c:v>November</c:v>
                  </c:pt>
                  <c:pt idx="59">
                    <c:v>December</c:v>
                  </c:pt>
                  <c:pt idx="60">
                    <c:v>January</c:v>
                  </c:pt>
                  <c:pt idx="61">
                    <c:v>February</c:v>
                  </c:pt>
                  <c:pt idx="62">
                    <c:v>March</c:v>
                  </c:pt>
                  <c:pt idx="63">
                    <c:v>April</c:v>
                  </c:pt>
                  <c:pt idx="64">
                    <c:v>May</c:v>
                  </c:pt>
                  <c:pt idx="65">
                    <c:v>June</c:v>
                  </c:pt>
                  <c:pt idx="66">
                    <c:v>July</c:v>
                  </c:pt>
                  <c:pt idx="67">
                    <c:v>August</c:v>
                  </c:pt>
                  <c:pt idx="68">
                    <c:v>September</c:v>
                  </c:pt>
                  <c:pt idx="69">
                    <c:v>October</c:v>
                  </c:pt>
                  <c:pt idx="70">
                    <c:v>November</c:v>
                  </c:pt>
                  <c:pt idx="71">
                    <c:v>December</c:v>
                  </c:pt>
                  <c:pt idx="72">
                    <c:v>January</c:v>
                  </c:pt>
                  <c:pt idx="73">
                    <c:v>February</c:v>
                  </c:pt>
                  <c:pt idx="74">
                    <c:v>March</c:v>
                  </c:pt>
                  <c:pt idx="75">
                    <c:v>May</c:v>
                  </c:pt>
                  <c:pt idx="76">
                    <c:v>June</c:v>
                  </c:pt>
                  <c:pt idx="77">
                    <c:v>July</c:v>
                  </c:pt>
                  <c:pt idx="78">
                    <c:v>August</c:v>
                  </c:pt>
                  <c:pt idx="79">
                    <c:v>September</c:v>
                  </c:pt>
                  <c:pt idx="80">
                    <c:v>October</c:v>
                  </c:pt>
                  <c:pt idx="81">
                    <c:v>November</c:v>
                  </c:pt>
                  <c:pt idx="82">
                    <c:v>December</c:v>
                  </c:pt>
                  <c:pt idx="83">
                    <c:v>January</c:v>
                  </c:pt>
                  <c:pt idx="84">
                    <c:v>February</c:v>
                  </c:pt>
                  <c:pt idx="85">
                    <c:v>March</c:v>
                  </c:pt>
                  <c:pt idx="86">
                    <c:v>April</c:v>
                  </c:pt>
                  <c:pt idx="87">
                    <c:v>June</c:v>
                  </c:pt>
                  <c:pt idx="88">
                    <c:v>July</c:v>
                  </c:pt>
                  <c:pt idx="89">
                    <c:v>August</c:v>
                  </c:pt>
                  <c:pt idx="90">
                    <c:v>September</c:v>
                  </c:pt>
                  <c:pt idx="91">
                    <c:v>October</c:v>
                  </c:pt>
                  <c:pt idx="92">
                    <c:v>November</c:v>
                  </c:pt>
                  <c:pt idx="93">
                    <c:v>December</c:v>
                  </c:pt>
                  <c:pt idx="94">
                    <c:v>January</c:v>
                  </c:pt>
                  <c:pt idx="95">
                    <c:v>February</c:v>
                  </c:pt>
                  <c:pt idx="96">
                    <c:v>March</c:v>
                  </c:pt>
                  <c:pt idx="97">
                    <c:v>April</c:v>
                  </c:pt>
                  <c:pt idx="98">
                    <c:v>May</c:v>
                  </c:pt>
                  <c:pt idx="99">
                    <c:v>June</c:v>
                  </c:pt>
                  <c:pt idx="100">
                    <c:v>July</c:v>
                  </c:pt>
                  <c:pt idx="101">
                    <c:v>August</c:v>
                  </c:pt>
                  <c:pt idx="102">
                    <c:v>September</c:v>
                  </c:pt>
                  <c:pt idx="103">
                    <c:v>October</c:v>
                  </c:pt>
                  <c:pt idx="104">
                    <c:v>November</c:v>
                  </c:pt>
                  <c:pt idx="105">
                    <c:v>December</c:v>
                  </c:pt>
                  <c:pt idx="106">
                    <c:v>January</c:v>
                  </c:pt>
                  <c:pt idx="107">
                    <c:v>February</c:v>
                  </c:pt>
                  <c:pt idx="108">
                    <c:v>March</c:v>
                  </c:pt>
                  <c:pt idx="109">
                    <c:v>April</c:v>
                  </c:pt>
                  <c:pt idx="110">
                    <c:v>May</c:v>
                  </c:pt>
                  <c:pt idx="111">
                    <c:v>June</c:v>
                  </c:pt>
                  <c:pt idx="112">
                    <c:v>July</c:v>
                  </c:pt>
                  <c:pt idx="113">
                    <c:v>August</c:v>
                  </c:pt>
                  <c:pt idx="114">
                    <c:v>September</c:v>
                  </c:pt>
                  <c:pt idx="115">
                    <c:v>October</c:v>
                  </c:pt>
                  <c:pt idx="116">
                    <c:v>November</c:v>
                  </c:pt>
                  <c:pt idx="117">
                    <c:v>December</c:v>
                  </c:pt>
                  <c:pt idx="118">
                    <c:v>January</c:v>
                  </c:pt>
                  <c:pt idx="119">
                    <c:v>February</c:v>
                  </c:pt>
                  <c:pt idx="120">
                    <c:v>March</c:v>
                  </c:pt>
                  <c:pt idx="121">
                    <c:v>April</c:v>
                  </c:pt>
                  <c:pt idx="122">
                    <c:v>May</c:v>
                  </c:pt>
                </c:lvl>
                <c:lvl>
                  <c:pt idx="0">
                    <c:v>2013</c:v>
                  </c:pt>
                  <c:pt idx="1">
                    <c:v>2013</c:v>
                  </c:pt>
                  <c:pt idx="2">
                    <c:v>2013</c:v>
                  </c:pt>
                  <c:pt idx="3">
                    <c:v>2013</c:v>
                  </c:pt>
                  <c:pt idx="4">
                    <c:v>2013</c:v>
                  </c:pt>
                  <c:pt idx="5">
                    <c:v>2013</c:v>
                  </c:pt>
                  <c:pt idx="6">
                    <c:v>2013</c:v>
                  </c:pt>
                  <c:pt idx="7">
                    <c:v>2013</c:v>
                  </c:pt>
                  <c:pt idx="8">
                    <c:v>2013</c:v>
                  </c:pt>
                  <c:pt idx="9">
                    <c:v>2013</c:v>
                  </c:pt>
                  <c:pt idx="10">
                    <c:v>2013</c:v>
                  </c:pt>
                  <c:pt idx="11">
                    <c:v>2013</c:v>
                  </c:pt>
                  <c:pt idx="12">
                    <c:v>2014</c:v>
                  </c:pt>
                  <c:pt idx="13">
                    <c:v>2014</c:v>
                  </c:pt>
                  <c:pt idx="14">
                    <c:v>2014</c:v>
                  </c:pt>
                  <c:pt idx="15">
                    <c:v>2014</c:v>
                  </c:pt>
                  <c:pt idx="16">
                    <c:v>2014</c:v>
                  </c:pt>
                  <c:pt idx="17">
                    <c:v>2014</c:v>
                  </c:pt>
                  <c:pt idx="18">
                    <c:v>2014</c:v>
                  </c:pt>
                  <c:pt idx="19">
                    <c:v>2014</c:v>
                  </c:pt>
                  <c:pt idx="20">
                    <c:v>2014</c:v>
                  </c:pt>
                  <c:pt idx="21">
                    <c:v>2014</c:v>
                  </c:pt>
                  <c:pt idx="22">
                    <c:v>2014</c:v>
                  </c:pt>
                  <c:pt idx="23">
                    <c:v>2014</c:v>
                  </c:pt>
                  <c:pt idx="24">
                    <c:v>2015</c:v>
                  </c:pt>
                  <c:pt idx="25">
                    <c:v>2015</c:v>
                  </c:pt>
                  <c:pt idx="26">
                    <c:v>2015</c:v>
                  </c:pt>
                  <c:pt idx="27">
                    <c:v>2015</c:v>
                  </c:pt>
                  <c:pt idx="28">
                    <c:v>2015</c:v>
                  </c:pt>
                  <c:pt idx="29">
                    <c:v>2015</c:v>
                  </c:pt>
                  <c:pt idx="30">
                    <c:v>2015</c:v>
                  </c:pt>
                  <c:pt idx="31">
                    <c:v>2015</c:v>
                  </c:pt>
                  <c:pt idx="32">
                    <c:v>2015</c:v>
                  </c:pt>
                  <c:pt idx="33">
                    <c:v>2015</c:v>
                  </c:pt>
                  <c:pt idx="34">
                    <c:v>2015</c:v>
                  </c:pt>
                  <c:pt idx="35">
                    <c:v>2015</c:v>
                  </c:pt>
                  <c:pt idx="36">
                    <c:v>2016</c:v>
                  </c:pt>
                  <c:pt idx="37">
                    <c:v>2016</c:v>
                  </c:pt>
                  <c:pt idx="38">
                    <c:v>2016</c:v>
                  </c:pt>
                  <c:pt idx="39">
                    <c:v>2016</c:v>
                  </c:pt>
                  <c:pt idx="40">
                    <c:v>2016</c:v>
                  </c:pt>
                  <c:pt idx="41">
                    <c:v>2016</c:v>
                  </c:pt>
                  <c:pt idx="42">
                    <c:v>2016</c:v>
                  </c:pt>
                  <c:pt idx="43">
                    <c:v>2016</c:v>
                  </c:pt>
                  <c:pt idx="44">
                    <c:v>2016</c:v>
                  </c:pt>
                  <c:pt idx="45">
                    <c:v>2016</c:v>
                  </c:pt>
                  <c:pt idx="46">
                    <c:v>2016</c:v>
                  </c:pt>
                  <c:pt idx="47">
                    <c:v>2016</c:v>
                  </c:pt>
                  <c:pt idx="48">
                    <c:v>2017</c:v>
                  </c:pt>
                  <c:pt idx="49">
                    <c:v>2017</c:v>
                  </c:pt>
                  <c:pt idx="50">
                    <c:v>2017</c:v>
                  </c:pt>
                  <c:pt idx="51">
                    <c:v>2017</c:v>
                  </c:pt>
                  <c:pt idx="52">
                    <c:v>2017</c:v>
                  </c:pt>
                  <c:pt idx="53">
                    <c:v>2017</c:v>
                  </c:pt>
                  <c:pt idx="54">
                    <c:v>2017</c:v>
                  </c:pt>
                  <c:pt idx="55">
                    <c:v>2017</c:v>
                  </c:pt>
                  <c:pt idx="56">
                    <c:v>2017</c:v>
                  </c:pt>
                  <c:pt idx="57">
                    <c:v>2017</c:v>
                  </c:pt>
                  <c:pt idx="58">
                    <c:v>2017</c:v>
                  </c:pt>
                  <c:pt idx="59">
                    <c:v>2017</c:v>
                  </c:pt>
                  <c:pt idx="60">
                    <c:v>2018</c:v>
                  </c:pt>
                  <c:pt idx="61">
                    <c:v>2018</c:v>
                  </c:pt>
                  <c:pt idx="62">
                    <c:v>2018</c:v>
                  </c:pt>
                  <c:pt idx="63">
                    <c:v>2018</c:v>
                  </c:pt>
                  <c:pt idx="64">
                    <c:v>2018</c:v>
                  </c:pt>
                  <c:pt idx="65">
                    <c:v>2018</c:v>
                  </c:pt>
                  <c:pt idx="66">
                    <c:v>2018</c:v>
                  </c:pt>
                  <c:pt idx="67">
                    <c:v>2018</c:v>
                  </c:pt>
                  <c:pt idx="68">
                    <c:v>2018</c:v>
                  </c:pt>
                  <c:pt idx="69">
                    <c:v>2018</c:v>
                  </c:pt>
                  <c:pt idx="70">
                    <c:v>2018</c:v>
                  </c:pt>
                  <c:pt idx="71">
                    <c:v>2018</c:v>
                  </c:pt>
                  <c:pt idx="72">
                    <c:v>2019</c:v>
                  </c:pt>
                  <c:pt idx="73">
                    <c:v>2019</c:v>
                  </c:pt>
                  <c:pt idx="74">
                    <c:v>2019</c:v>
                  </c:pt>
                  <c:pt idx="75">
                    <c:v>2019</c:v>
                  </c:pt>
                  <c:pt idx="76">
                    <c:v>2019</c:v>
                  </c:pt>
                  <c:pt idx="77">
                    <c:v>2019</c:v>
                  </c:pt>
                  <c:pt idx="78">
                    <c:v>2019</c:v>
                  </c:pt>
                  <c:pt idx="79">
                    <c:v>2019</c:v>
                  </c:pt>
                  <c:pt idx="80">
                    <c:v>2019</c:v>
                  </c:pt>
                  <c:pt idx="81">
                    <c:v>2019</c:v>
                  </c:pt>
                  <c:pt idx="82">
                    <c:v>2019</c:v>
                  </c:pt>
                  <c:pt idx="83">
                    <c:v>2020</c:v>
                  </c:pt>
                  <c:pt idx="84">
                    <c:v>2020</c:v>
                  </c:pt>
                  <c:pt idx="85">
                    <c:v>2020</c:v>
                  </c:pt>
                  <c:pt idx="86">
                    <c:v>2020</c:v>
                  </c:pt>
                  <c:pt idx="87">
                    <c:v>2020</c:v>
                  </c:pt>
                  <c:pt idx="88">
                    <c:v>2020</c:v>
                  </c:pt>
                  <c:pt idx="89">
                    <c:v>2020</c:v>
                  </c:pt>
                  <c:pt idx="90">
                    <c:v>2020</c:v>
                  </c:pt>
                  <c:pt idx="91">
                    <c:v>2020</c:v>
                  </c:pt>
                  <c:pt idx="92">
                    <c:v>2020</c:v>
                  </c:pt>
                  <c:pt idx="93">
                    <c:v>2020</c:v>
                  </c:pt>
                  <c:pt idx="94">
                    <c:v>2021</c:v>
                  </c:pt>
                  <c:pt idx="95">
                    <c:v>2021</c:v>
                  </c:pt>
                  <c:pt idx="96">
                    <c:v>2021</c:v>
                  </c:pt>
                  <c:pt idx="97">
                    <c:v>2021</c:v>
                  </c:pt>
                  <c:pt idx="98">
                    <c:v>2021</c:v>
                  </c:pt>
                  <c:pt idx="99">
                    <c:v>2021</c:v>
                  </c:pt>
                  <c:pt idx="100">
                    <c:v>2021</c:v>
                  </c:pt>
                  <c:pt idx="101">
                    <c:v>2021</c:v>
                  </c:pt>
                  <c:pt idx="102">
                    <c:v>2021</c:v>
                  </c:pt>
                  <c:pt idx="103">
                    <c:v>2021</c:v>
                  </c:pt>
                  <c:pt idx="104">
                    <c:v>2021</c:v>
                  </c:pt>
                  <c:pt idx="105">
                    <c:v>2021</c:v>
                  </c:pt>
                  <c:pt idx="106">
                    <c:v>2022</c:v>
                  </c:pt>
                  <c:pt idx="107">
                    <c:v>2022</c:v>
                  </c:pt>
                  <c:pt idx="108">
                    <c:v>2022</c:v>
                  </c:pt>
                  <c:pt idx="109">
                    <c:v>2022</c:v>
                  </c:pt>
                  <c:pt idx="110">
                    <c:v>2022</c:v>
                  </c:pt>
                  <c:pt idx="111">
                    <c:v>2022</c:v>
                  </c:pt>
                  <c:pt idx="112">
                    <c:v>2022</c:v>
                  </c:pt>
                  <c:pt idx="113">
                    <c:v>2022</c:v>
                  </c:pt>
                  <c:pt idx="114">
                    <c:v>2022</c:v>
                  </c:pt>
                  <c:pt idx="115">
                    <c:v>2022</c:v>
                  </c:pt>
                  <c:pt idx="116">
                    <c:v>2022</c:v>
                  </c:pt>
                  <c:pt idx="117">
                    <c:v>2022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</c:lvl>
                <c:lvl>
                  <c:pt idx="0">
                    <c:v>Rural+Urban</c:v>
                  </c:pt>
                  <c:pt idx="1">
                    <c:v>Rural+Urban</c:v>
                  </c:pt>
                  <c:pt idx="2">
                    <c:v>Rural+Urban</c:v>
                  </c:pt>
                  <c:pt idx="3">
                    <c:v>Rural+Urban</c:v>
                  </c:pt>
                  <c:pt idx="4">
                    <c:v>Rural+Urban</c:v>
                  </c:pt>
                  <c:pt idx="5">
                    <c:v>Rural+Urban</c:v>
                  </c:pt>
                  <c:pt idx="6">
                    <c:v>Rural+Urban</c:v>
                  </c:pt>
                  <c:pt idx="7">
                    <c:v>Rural+Urban</c:v>
                  </c:pt>
                  <c:pt idx="8">
                    <c:v>Rural+Urban</c:v>
                  </c:pt>
                  <c:pt idx="9">
                    <c:v>Rural+Urban</c:v>
                  </c:pt>
                  <c:pt idx="10">
                    <c:v>Rural+Urban</c:v>
                  </c:pt>
                  <c:pt idx="11">
                    <c:v>Rural+Urban</c:v>
                  </c:pt>
                  <c:pt idx="12">
                    <c:v>Rural+Urban</c:v>
                  </c:pt>
                  <c:pt idx="13">
                    <c:v>Rural+Urban</c:v>
                  </c:pt>
                  <c:pt idx="14">
                    <c:v>Rural+Urban</c:v>
                  </c:pt>
                  <c:pt idx="15">
                    <c:v>Rural+Urban</c:v>
                  </c:pt>
                  <c:pt idx="16">
                    <c:v>Rural+Urban</c:v>
                  </c:pt>
                  <c:pt idx="17">
                    <c:v>Rural+Urban</c:v>
                  </c:pt>
                  <c:pt idx="18">
                    <c:v>Rural+Urban</c:v>
                  </c:pt>
                  <c:pt idx="19">
                    <c:v>Rural+Urban</c:v>
                  </c:pt>
                  <c:pt idx="20">
                    <c:v>Rural+Urban</c:v>
                  </c:pt>
                  <c:pt idx="21">
                    <c:v>Rural+Urban</c:v>
                  </c:pt>
                  <c:pt idx="22">
                    <c:v>Rural+Urban</c:v>
                  </c:pt>
                  <c:pt idx="23">
                    <c:v>Rural+Urban</c:v>
                  </c:pt>
                  <c:pt idx="24">
                    <c:v>Rural+Urban</c:v>
                  </c:pt>
                  <c:pt idx="25">
                    <c:v>Rural+Urban</c:v>
                  </c:pt>
                  <c:pt idx="26">
                    <c:v>Rural+Urban</c:v>
                  </c:pt>
                  <c:pt idx="27">
                    <c:v>Rural+Urban</c:v>
                  </c:pt>
                  <c:pt idx="28">
                    <c:v>Rural+Urban</c:v>
                  </c:pt>
                  <c:pt idx="29">
                    <c:v>Rural+Urban</c:v>
                  </c:pt>
                  <c:pt idx="30">
                    <c:v>Rural+Urban</c:v>
                  </c:pt>
                  <c:pt idx="31">
                    <c:v>Rural+Urban</c:v>
                  </c:pt>
                  <c:pt idx="32">
                    <c:v>Rural+Urban</c:v>
                  </c:pt>
                  <c:pt idx="33">
                    <c:v>Rural+Urban</c:v>
                  </c:pt>
                  <c:pt idx="34">
                    <c:v>Rural+Urban</c:v>
                  </c:pt>
                  <c:pt idx="35">
                    <c:v>Rural+Urban</c:v>
                  </c:pt>
                  <c:pt idx="36">
                    <c:v>Rural+Urban</c:v>
                  </c:pt>
                  <c:pt idx="37">
                    <c:v>Rural+Urban</c:v>
                  </c:pt>
                  <c:pt idx="38">
                    <c:v>Rural+Urban</c:v>
                  </c:pt>
                  <c:pt idx="39">
                    <c:v>Rural+Urban</c:v>
                  </c:pt>
                  <c:pt idx="40">
                    <c:v>Rural+Urban</c:v>
                  </c:pt>
                  <c:pt idx="41">
                    <c:v>Rural+Urban</c:v>
                  </c:pt>
                  <c:pt idx="42">
                    <c:v>Rural+Urban</c:v>
                  </c:pt>
                  <c:pt idx="43">
                    <c:v>Rural+Urban</c:v>
                  </c:pt>
                  <c:pt idx="44">
                    <c:v>Rural+Urban</c:v>
                  </c:pt>
                  <c:pt idx="45">
                    <c:v>Rural+Urban</c:v>
                  </c:pt>
                  <c:pt idx="46">
                    <c:v>Rural+Urban</c:v>
                  </c:pt>
                  <c:pt idx="47">
                    <c:v>Rural+Urban</c:v>
                  </c:pt>
                  <c:pt idx="48">
                    <c:v>Rural+Urban</c:v>
                  </c:pt>
                  <c:pt idx="49">
                    <c:v>Rural+Urban</c:v>
                  </c:pt>
                  <c:pt idx="50">
                    <c:v>Rural+Urban</c:v>
                  </c:pt>
                  <c:pt idx="51">
                    <c:v>Rural+Urban</c:v>
                  </c:pt>
                  <c:pt idx="52">
                    <c:v>Rural+Urban</c:v>
                  </c:pt>
                  <c:pt idx="53">
                    <c:v>Rural+Urban</c:v>
                  </c:pt>
                  <c:pt idx="54">
                    <c:v>Rural+Urban</c:v>
                  </c:pt>
                  <c:pt idx="55">
                    <c:v>Rural+Urban</c:v>
                  </c:pt>
                  <c:pt idx="56">
                    <c:v>Rural+Urban</c:v>
                  </c:pt>
                  <c:pt idx="57">
                    <c:v>Rural+Urban</c:v>
                  </c:pt>
                  <c:pt idx="58">
                    <c:v>Rural+Urban</c:v>
                  </c:pt>
                  <c:pt idx="59">
                    <c:v>Rural+Urban</c:v>
                  </c:pt>
                  <c:pt idx="60">
                    <c:v>Rural+Urban</c:v>
                  </c:pt>
                  <c:pt idx="61">
                    <c:v>Rural+Urban</c:v>
                  </c:pt>
                  <c:pt idx="62">
                    <c:v>Rural+Urban</c:v>
                  </c:pt>
                  <c:pt idx="63">
                    <c:v>Rural+Urban</c:v>
                  </c:pt>
                  <c:pt idx="64">
                    <c:v>Rural+Urban</c:v>
                  </c:pt>
                  <c:pt idx="65">
                    <c:v>Rural+Urban</c:v>
                  </c:pt>
                  <c:pt idx="66">
                    <c:v>Rural+Urban</c:v>
                  </c:pt>
                  <c:pt idx="67">
                    <c:v>Rural+Urban</c:v>
                  </c:pt>
                  <c:pt idx="68">
                    <c:v>Rural+Urban</c:v>
                  </c:pt>
                  <c:pt idx="69">
                    <c:v>Rural+Urban</c:v>
                  </c:pt>
                  <c:pt idx="70">
                    <c:v>Rural+Urban</c:v>
                  </c:pt>
                  <c:pt idx="71">
                    <c:v>Rural+Urban</c:v>
                  </c:pt>
                  <c:pt idx="72">
                    <c:v>Rural+Urban</c:v>
                  </c:pt>
                  <c:pt idx="73">
                    <c:v>Rural+Urban</c:v>
                  </c:pt>
                  <c:pt idx="74">
                    <c:v>Rural+Urban</c:v>
                  </c:pt>
                  <c:pt idx="75">
                    <c:v>Rural+Urban</c:v>
                  </c:pt>
                  <c:pt idx="76">
                    <c:v>Rural+Urban</c:v>
                  </c:pt>
                  <c:pt idx="77">
                    <c:v>Rural+Urban</c:v>
                  </c:pt>
                  <c:pt idx="78">
                    <c:v>Rural+Urban</c:v>
                  </c:pt>
                  <c:pt idx="79">
                    <c:v>Rural+Urban</c:v>
                  </c:pt>
                  <c:pt idx="80">
                    <c:v>Rural+Urban</c:v>
                  </c:pt>
                  <c:pt idx="81">
                    <c:v>Rural+Urban</c:v>
                  </c:pt>
                  <c:pt idx="82">
                    <c:v>Rural+Urban</c:v>
                  </c:pt>
                  <c:pt idx="83">
                    <c:v>Rural+Urban</c:v>
                  </c:pt>
                  <c:pt idx="84">
                    <c:v>Rural+Urban</c:v>
                  </c:pt>
                  <c:pt idx="85">
                    <c:v>Rural+Urban</c:v>
                  </c:pt>
                  <c:pt idx="86">
                    <c:v>Rural+Urban</c:v>
                  </c:pt>
                  <c:pt idx="87">
                    <c:v>Rural+Urban</c:v>
                  </c:pt>
                  <c:pt idx="88">
                    <c:v>Rural+Urban</c:v>
                  </c:pt>
                  <c:pt idx="89">
                    <c:v>Rural+Urban</c:v>
                  </c:pt>
                  <c:pt idx="90">
                    <c:v>Rural+Urban</c:v>
                  </c:pt>
                  <c:pt idx="91">
                    <c:v>Rural+Urban</c:v>
                  </c:pt>
                  <c:pt idx="92">
                    <c:v>Rural+Urban</c:v>
                  </c:pt>
                  <c:pt idx="93">
                    <c:v>Rural+Urban</c:v>
                  </c:pt>
                  <c:pt idx="94">
                    <c:v>Rural+Urban</c:v>
                  </c:pt>
                  <c:pt idx="95">
                    <c:v>Rural+Urban</c:v>
                  </c:pt>
                  <c:pt idx="96">
                    <c:v>Rural+Urban</c:v>
                  </c:pt>
                  <c:pt idx="97">
                    <c:v>Rural+Urban</c:v>
                  </c:pt>
                  <c:pt idx="98">
                    <c:v>Rural+Urban</c:v>
                  </c:pt>
                  <c:pt idx="99">
                    <c:v>Rural+Urban</c:v>
                  </c:pt>
                  <c:pt idx="100">
                    <c:v>Rural+Urban</c:v>
                  </c:pt>
                  <c:pt idx="101">
                    <c:v>Rural+Urban</c:v>
                  </c:pt>
                  <c:pt idx="102">
                    <c:v>Rural+Urban</c:v>
                  </c:pt>
                  <c:pt idx="103">
                    <c:v>Rural+Urban</c:v>
                  </c:pt>
                  <c:pt idx="104">
                    <c:v>Rural+Urban</c:v>
                  </c:pt>
                  <c:pt idx="105">
                    <c:v>Rural+Urban</c:v>
                  </c:pt>
                  <c:pt idx="106">
                    <c:v>Rural+Urban</c:v>
                  </c:pt>
                  <c:pt idx="107">
                    <c:v>Rural+Urban</c:v>
                  </c:pt>
                  <c:pt idx="108">
                    <c:v>Rural+Urban</c:v>
                  </c:pt>
                  <c:pt idx="109">
                    <c:v>Rural+Urban</c:v>
                  </c:pt>
                  <c:pt idx="110">
                    <c:v>Rural+Urban</c:v>
                  </c:pt>
                  <c:pt idx="111">
                    <c:v>Rural+Urban</c:v>
                  </c:pt>
                  <c:pt idx="112">
                    <c:v>Rural+Urban</c:v>
                  </c:pt>
                  <c:pt idx="113">
                    <c:v>Rural+Urban</c:v>
                  </c:pt>
                  <c:pt idx="114">
                    <c:v>Rural+Urban</c:v>
                  </c:pt>
                  <c:pt idx="115">
                    <c:v>Rural+Urban</c:v>
                  </c:pt>
                  <c:pt idx="116">
                    <c:v>Rural+Urban</c:v>
                  </c:pt>
                  <c:pt idx="117">
                    <c:v>Rural+Urban</c:v>
                  </c:pt>
                  <c:pt idx="118">
                    <c:v>Rural+Urban</c:v>
                  </c:pt>
                  <c:pt idx="119">
                    <c:v>Rural+Urban</c:v>
                  </c:pt>
                  <c:pt idx="120">
                    <c:v>Rural+Urban</c:v>
                  </c:pt>
                  <c:pt idx="121">
                    <c:v>Rural+Urban</c:v>
                  </c:pt>
                  <c:pt idx="122">
                    <c:v>Rural+Urban</c:v>
                  </c:pt>
                </c:lvl>
              </c:multiLvlStrCache>
            </c:multiLvlStrRef>
          </c:cat>
          <c:val>
            <c:numRef>
              <c:f>'2.  Y-o-Y increase in CP!'!$E$10:$E$132</c:f>
              <c:numCache>
                <c:formatCode>General</c:formatCode>
                <c:ptCount val="123"/>
                <c:pt idx="0">
                  <c:v>7.82</c:v>
                </c:pt>
                <c:pt idx="1">
                  <c:v>7.13</c:v>
                </c:pt>
                <c:pt idx="2">
                  <c:v>7.45</c:v>
                </c:pt>
                <c:pt idx="3">
                  <c:v>7.82</c:v>
                </c:pt>
                <c:pt idx="4">
                  <c:v>7.85</c:v>
                </c:pt>
                <c:pt idx="5">
                  <c:v>6.69</c:v>
                </c:pt>
                <c:pt idx="6">
                  <c:v>7.21</c:v>
                </c:pt>
                <c:pt idx="7">
                  <c:v>7.05</c:v>
                </c:pt>
                <c:pt idx="8">
                  <c:v>5.88</c:v>
                </c:pt>
                <c:pt idx="9">
                  <c:v>5.04</c:v>
                </c:pt>
                <c:pt idx="10">
                  <c:v>3.88</c:v>
                </c:pt>
                <c:pt idx="11">
                  <c:v>4.51</c:v>
                </c:pt>
                <c:pt idx="12">
                  <c:v>5.16</c:v>
                </c:pt>
                <c:pt idx="13">
                  <c:v>5.43</c:v>
                </c:pt>
                <c:pt idx="14">
                  <c:v>5.16</c:v>
                </c:pt>
                <c:pt idx="15">
                  <c:v>4.87</c:v>
                </c:pt>
                <c:pt idx="16">
                  <c:v>4.99</c:v>
                </c:pt>
                <c:pt idx="17">
                  <c:v>5.65</c:v>
                </c:pt>
                <c:pt idx="18">
                  <c:v>4.18</c:v>
                </c:pt>
                <c:pt idx="19">
                  <c:v>4.13</c:v>
                </c:pt>
                <c:pt idx="20">
                  <c:v>4.75</c:v>
                </c:pt>
                <c:pt idx="21">
                  <c:v>5.53</c:v>
                </c:pt>
                <c:pt idx="22">
                  <c:v>6.02</c:v>
                </c:pt>
                <c:pt idx="23">
                  <c:v>6.22</c:v>
                </c:pt>
                <c:pt idx="24">
                  <c:v>6.45</c:v>
                </c:pt>
                <c:pt idx="25">
                  <c:v>6.04</c:v>
                </c:pt>
                <c:pt idx="26">
                  <c:v>5.84</c:v>
                </c:pt>
                <c:pt idx="27">
                  <c:v>6.45</c:v>
                </c:pt>
                <c:pt idx="28">
                  <c:v>6.8</c:v>
                </c:pt>
                <c:pt idx="29">
                  <c:v>6.54</c:v>
                </c:pt>
                <c:pt idx="30">
                  <c:v>7.06</c:v>
                </c:pt>
                <c:pt idx="31">
                  <c:v>6.26</c:v>
                </c:pt>
                <c:pt idx="32">
                  <c:v>5.56</c:v>
                </c:pt>
                <c:pt idx="33">
                  <c:v>5.04</c:v>
                </c:pt>
                <c:pt idx="34">
                  <c:v>4.36</c:v>
                </c:pt>
                <c:pt idx="35">
                  <c:v>4</c:v>
                </c:pt>
                <c:pt idx="36">
                  <c:v>3.41</c:v>
                </c:pt>
                <c:pt idx="37">
                  <c:v>3.6</c:v>
                </c:pt>
                <c:pt idx="38">
                  <c:v>3.67</c:v>
                </c:pt>
                <c:pt idx="39">
                  <c:v>2.75</c:v>
                </c:pt>
                <c:pt idx="40">
                  <c:v>1.78</c:v>
                </c:pt>
                <c:pt idx="41">
                  <c:v>1.14</c:v>
                </c:pt>
                <c:pt idx="42">
                  <c:v>1.55</c:v>
                </c:pt>
                <c:pt idx="43">
                  <c:v>2.34</c:v>
                </c:pt>
                <c:pt idx="44">
                  <c:v>2.42</c:v>
                </c:pt>
                <c:pt idx="45">
                  <c:v>2.62</c:v>
                </c:pt>
                <c:pt idx="46">
                  <c:v>3.91</c:v>
                </c:pt>
                <c:pt idx="47">
                  <c:v>4.12</c:v>
                </c:pt>
                <c:pt idx="48">
                  <c:v>4.1</c:v>
                </c:pt>
                <c:pt idx="49">
                  <c:v>3.63</c:v>
                </c:pt>
                <c:pt idx="50">
                  <c:v>3.65</c:v>
                </c:pt>
                <c:pt idx="51">
                  <c:v>3.89</c:v>
                </c:pt>
                <c:pt idx="52">
                  <c:v>4.1</c:v>
                </c:pt>
                <c:pt idx="53">
                  <c:v>4.19</c:v>
                </c:pt>
                <c:pt idx="54">
                  <c:v>3.69</c:v>
                </c:pt>
                <c:pt idx="55">
                  <c:v>3.22</c:v>
                </c:pt>
                <c:pt idx="56">
                  <c:v>3.09</c:v>
                </c:pt>
                <c:pt idx="57">
                  <c:v>3.05</c:v>
                </c:pt>
                <c:pt idx="58">
                  <c:v>1.81</c:v>
                </c:pt>
                <c:pt idx="59">
                  <c:v>1.78</c:v>
                </c:pt>
                <c:pt idx="60">
                  <c:v>1.7</c:v>
                </c:pt>
                <c:pt idx="61">
                  <c:v>2.35</c:v>
                </c:pt>
                <c:pt idx="62">
                  <c:v>2.54</c:v>
                </c:pt>
                <c:pt idx="63">
                  <c:v>3.23</c:v>
                </c:pt>
                <c:pt idx="64">
                  <c:v>3.62</c:v>
                </c:pt>
                <c:pt idx="65">
                  <c:v>3.88</c:v>
                </c:pt>
                <c:pt idx="66">
                  <c:v>3.5</c:v>
                </c:pt>
                <c:pt idx="67">
                  <c:v>3.62</c:v>
                </c:pt>
                <c:pt idx="68">
                  <c:v>4.81</c:v>
                </c:pt>
                <c:pt idx="69">
                  <c:v>5.19</c:v>
                </c:pt>
                <c:pt idx="70">
                  <c:v>6.42</c:v>
                </c:pt>
                <c:pt idx="71">
                  <c:v>6.8</c:v>
                </c:pt>
                <c:pt idx="72">
                  <c:v>6.53</c:v>
                </c:pt>
                <c:pt idx="73">
                  <c:v>6.01</c:v>
                </c:pt>
                <c:pt idx="74">
                  <c:v>6.89</c:v>
                </c:pt>
                <c:pt idx="75">
                  <c:v>7.46</c:v>
                </c:pt>
                <c:pt idx="76">
                  <c:v>6.7</c:v>
                </c:pt>
                <c:pt idx="77">
                  <c:v>6.91</c:v>
                </c:pt>
                <c:pt idx="78">
                  <c:v>7.04</c:v>
                </c:pt>
                <c:pt idx="79">
                  <c:v>7.75</c:v>
                </c:pt>
                <c:pt idx="80">
                  <c:v>8.22</c:v>
                </c:pt>
                <c:pt idx="81">
                  <c:v>7.86</c:v>
                </c:pt>
                <c:pt idx="82">
                  <c:v>6.02</c:v>
                </c:pt>
                <c:pt idx="83">
                  <c:v>5.53</c:v>
                </c:pt>
                <c:pt idx="84">
                  <c:v>6.31</c:v>
                </c:pt>
                <c:pt idx="85">
                  <c:v>7.47</c:v>
                </c:pt>
                <c:pt idx="86">
                  <c:v>8.26</c:v>
                </c:pt>
                <c:pt idx="87">
                  <c:v>7.33</c:v>
                </c:pt>
                <c:pt idx="88">
                  <c:v>8.02</c:v>
                </c:pt>
                <c:pt idx="89">
                  <c:v>7.22</c:v>
                </c:pt>
                <c:pt idx="90">
                  <c:v>6.63</c:v>
                </c:pt>
                <c:pt idx="91">
                  <c:v>6.62</c:v>
                </c:pt>
                <c:pt idx="92">
                  <c:v>5.88</c:v>
                </c:pt>
                <c:pt idx="93">
                  <c:v>5.19</c:v>
                </c:pt>
                <c:pt idx="94">
                  <c:v>5.65</c:v>
                </c:pt>
                <c:pt idx="95">
                  <c:v>6.28</c:v>
                </c:pt>
                <c:pt idx="96">
                  <c:v>7.06</c:v>
                </c:pt>
                <c:pt idx="97">
                  <c:v>7.53</c:v>
                </c:pt>
                <c:pt idx="98">
                  <c:v>6.48</c:v>
                </c:pt>
                <c:pt idx="99">
                  <c:v>6.46</c:v>
                </c:pt>
                <c:pt idx="100">
                  <c:v>6.25</c:v>
                </c:pt>
                <c:pt idx="101">
                  <c:v>6.27</c:v>
                </c:pt>
                <c:pt idx="102">
                  <c:v>6.79</c:v>
                </c:pt>
                <c:pt idx="103">
                  <c:v>6.28</c:v>
                </c:pt>
                <c:pt idx="104">
                  <c:v>5.81</c:v>
                </c:pt>
                <c:pt idx="105">
                  <c:v>5.85</c:v>
                </c:pt>
                <c:pt idx="106">
                  <c:v>6.49</c:v>
                </c:pt>
                <c:pt idx="107">
                  <c:v>6.31</c:v>
                </c:pt>
                <c:pt idx="108">
                  <c:v>6.65</c:v>
                </c:pt>
                <c:pt idx="109">
                  <c:v>4.55</c:v>
                </c:pt>
                <c:pt idx="110">
                  <c:v>4.23</c:v>
                </c:pt>
                <c:pt idx="111">
                  <c:v>6.48</c:v>
                </c:pt>
                <c:pt idx="112">
                  <c:v>6.28</c:v>
                </c:pt>
                <c:pt idx="113">
                  <c:v>6.27</c:v>
                </c:pt>
                <c:pt idx="114">
                  <c:v>6.79</c:v>
                </c:pt>
                <c:pt idx="115">
                  <c:v>6.28</c:v>
                </c:pt>
                <c:pt idx="116">
                  <c:v>5.81</c:v>
                </c:pt>
                <c:pt idx="117">
                  <c:v>5.85</c:v>
                </c:pt>
                <c:pt idx="118">
                  <c:v>7.12</c:v>
                </c:pt>
                <c:pt idx="119">
                  <c:v>6.36</c:v>
                </c:pt>
                <c:pt idx="120">
                  <c:v>6.65</c:v>
                </c:pt>
                <c:pt idx="121">
                  <c:v>4.55</c:v>
                </c:pt>
                <c:pt idx="122">
                  <c:v>1.98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0755567"/>
        <c:axId val="692845226"/>
      </c:lineChart>
      <c:catAx>
        <c:axId val="6407555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845226"/>
        <c:crosses val="autoZero"/>
        <c:auto val="1"/>
        <c:lblAlgn val="ctr"/>
        <c:lblOffset val="100"/>
        <c:noMultiLvlLbl val="0"/>
      </c:catAx>
      <c:valAx>
        <c:axId val="692845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75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2d601d-0236-49fc-ba1e-5ba78a4451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 Y-o-Y increase in CP!'!$I$45</c:f>
              <c:strCache>
                <c:ptCount val="1"/>
                <c:pt idx="0">
                  <c:v>Growth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'2.  Y-o-Y increase in CP!'!$H$46:$H$51</c:f>
              <c:strCache>
                <c:ptCount val="6"/>
                <c:pt idx="0">
                  <c:v>2017-2018</c:v>
                </c:pt>
                <c:pt idx="1">
                  <c:v>2018-2019</c:v>
                </c:pt>
                <c:pt idx="2">
                  <c:v>2019-2020</c:v>
                </c:pt>
                <c:pt idx="3">
                  <c:v>2020-2021</c:v>
                </c:pt>
                <c:pt idx="4">
                  <c:v>2021-2022</c:v>
                </c:pt>
                <c:pt idx="5">
                  <c:v>2022-2023</c:v>
                </c:pt>
              </c:strCache>
            </c:strRef>
          </c:cat>
          <c:val>
            <c:numRef>
              <c:f>'2.  Y-o-Y increase in CP!'!$I$46:$I$51</c:f>
              <c:numCache>
                <c:formatCode>0_ </c:formatCode>
                <c:ptCount val="6"/>
                <c:pt idx="0">
                  <c:v>3.0294403665755</c:v>
                </c:pt>
                <c:pt idx="1">
                  <c:v>-6.23794787918966</c:v>
                </c:pt>
                <c:pt idx="2">
                  <c:v>12.4005519937925</c:v>
                </c:pt>
                <c:pt idx="3">
                  <c:v>6.36041652443276</c:v>
                </c:pt>
                <c:pt idx="4">
                  <c:v>5.66488342929764</c:v>
                </c:pt>
                <c:pt idx="5">
                  <c:v>5.38151489218175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4869714"/>
        <c:axId val="544031670"/>
      </c:lineChart>
      <c:catAx>
        <c:axId val="8248697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4031670"/>
        <c:crosses val="autoZero"/>
        <c:auto val="1"/>
        <c:lblAlgn val="ctr"/>
        <c:lblOffset val="100"/>
        <c:noMultiLvlLbl val="0"/>
      </c:catAx>
      <c:valAx>
        <c:axId val="5440316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248697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9298be-8663-484d-bf17-c6eb34ef257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M-O-M Growth Rate in Food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M-O-M Food Inflation'!$G$29</c:f>
              <c:strCache>
                <c:ptCount val="1"/>
                <c:pt idx="0">
                  <c:v>M-O-M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'3. M-O-M Food Inflation'!$E$30:$F$40</c:f>
              <c:multiLvlStrCache>
                <c:ptCount val="11"/>
                <c:lvl>
                  <c:pt idx="0">
                    <c:v>June-July</c:v>
                  </c:pt>
                  <c:pt idx="1">
                    <c:v>July-August</c:v>
                  </c:pt>
                  <c:pt idx="2">
                    <c:v>August-September</c:v>
                  </c:pt>
                  <c:pt idx="3">
                    <c:v>September-October</c:v>
                  </c:pt>
                  <c:pt idx="4">
                    <c:v>October-November</c:v>
                  </c:pt>
                  <c:pt idx="5">
                    <c:v>November-December</c:v>
                  </c:pt>
                  <c:pt idx="6">
                    <c:v>December-January</c:v>
                  </c:pt>
                  <c:pt idx="7">
                    <c:v>January-February</c:v>
                  </c:pt>
                  <c:pt idx="8">
                    <c:v>February-March</c:v>
                  </c:pt>
                  <c:pt idx="9">
                    <c:v>March-April</c:v>
                  </c:pt>
                  <c:pt idx="10">
                    <c:v>April-May</c:v>
                  </c:pt>
                </c:lvl>
                <c:lvl>
                  <c:pt idx="0" c:formatCode="@">
                    <c:v>July</c:v>
                  </c:pt>
                  <c:pt idx="1" c:formatCode="@">
                    <c:v>August</c:v>
                  </c:pt>
                  <c:pt idx="2" c:formatCode="@">
                    <c:v>September</c:v>
                  </c:pt>
                  <c:pt idx="3" c:formatCode="@">
                    <c:v>October</c:v>
                  </c:pt>
                  <c:pt idx="4" c:formatCode="@">
                    <c:v>November</c:v>
                  </c:pt>
                  <c:pt idx="5" c:formatCode="@">
                    <c:v>December</c:v>
                  </c:pt>
                  <c:pt idx="6" c:formatCode="@">
                    <c:v>January</c:v>
                  </c:pt>
                  <c:pt idx="7" c:formatCode="@">
                    <c:v>February</c:v>
                  </c:pt>
                  <c:pt idx="8" c:formatCode="@">
                    <c:v>March</c:v>
                  </c:pt>
                  <c:pt idx="9" c:formatCode="@">
                    <c:v>April</c:v>
                  </c:pt>
                  <c:pt idx="10" c:formatCode="@">
                    <c:v>May</c:v>
                  </c:pt>
                </c:lvl>
              </c:multiLvlStrCache>
            </c:multiLvlStrRef>
          </c:cat>
          <c:val>
            <c:numRef>
              <c:f>'3. M-O-M Food Inflation'!$G$30:$G$40</c:f>
              <c:numCache>
                <c:formatCode>0%</c:formatCode>
                <c:ptCount val="11"/>
                <c:pt idx="0">
                  <c:v>0.186827897671269</c:v>
                </c:pt>
                <c:pt idx="1">
                  <c:v>0.121872430400567</c:v>
                </c:pt>
                <c:pt idx="2">
                  <c:v>0.533826095883387</c:v>
                </c:pt>
                <c:pt idx="3">
                  <c:v>0.714796283059328</c:v>
                </c:pt>
                <c:pt idx="4">
                  <c:v>-0.0753175649251999</c:v>
                </c:pt>
                <c:pt idx="5">
                  <c:v>-0.617489744741908</c:v>
                </c:pt>
                <c:pt idx="6">
                  <c:v>0.434636757434771</c:v>
                </c:pt>
                <c:pt idx="7">
                  <c:v>-0.553288508734993</c:v>
                </c:pt>
                <c:pt idx="8">
                  <c:v>0.00584112149532179</c:v>
                </c:pt>
                <c:pt idx="9">
                  <c:v>0.483324572162846</c:v>
                </c:pt>
                <c:pt idx="10">
                  <c:v>0.744023832013367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94430971"/>
        <c:axId val="63477052"/>
      </c:lineChart>
      <c:catAx>
        <c:axId val="9944309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77052"/>
        <c:crosses val="autoZero"/>
        <c:auto val="1"/>
        <c:lblAlgn val="ctr"/>
        <c:lblOffset val="100"/>
        <c:noMultiLvlLbl val="0"/>
      </c:catAx>
      <c:valAx>
        <c:axId val="634770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4309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4be4f2-e0c7-41b8-a8be-7aae987300b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Absolute Changes</a:t>
            </a:r>
            <a:r>
              <a:rPr lang="en-IN" altLang="en-US"/>
              <a:t> and Large Food 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M-O-M Food Inflation'!$B$91</c:f>
              <c:strCache>
                <c:ptCount val="1"/>
                <c:pt idx="0">
                  <c:v>Absolute Changes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 M-O-M Food Inflation'!$A$92:$A$104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'3. M-O-M Food Inflation'!$B$92:$B$104</c:f>
              <c:numCache>
                <c:formatCode>General</c:formatCode>
                <c:ptCount val="13"/>
                <c:pt idx="0">
                  <c:v>55.3</c:v>
                </c:pt>
                <c:pt idx="1">
                  <c:v>-89.9</c:v>
                </c:pt>
                <c:pt idx="2">
                  <c:v>40.9</c:v>
                </c:pt>
                <c:pt idx="3">
                  <c:v>-66.4</c:v>
                </c:pt>
                <c:pt idx="4">
                  <c:v>7.69999999999993</c:v>
                </c:pt>
                <c:pt idx="5">
                  <c:v>34.9</c:v>
                </c:pt>
                <c:pt idx="6">
                  <c:v>91.4</c:v>
                </c:pt>
                <c:pt idx="7">
                  <c:v>7.39999999999998</c:v>
                </c:pt>
                <c:pt idx="8">
                  <c:v>8.40000000000003</c:v>
                </c:pt>
                <c:pt idx="9">
                  <c:v>12.4</c:v>
                </c:pt>
                <c:pt idx="10">
                  <c:v>16.8</c:v>
                </c:pt>
                <c:pt idx="11">
                  <c:v>30.9</c:v>
                </c:pt>
                <c:pt idx="12">
                  <c:v>-14.8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4445980"/>
        <c:axId val="33350303"/>
      </c:lineChart>
      <c:catAx>
        <c:axId val="74445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50303"/>
        <c:crosses val="autoZero"/>
        <c:auto val="1"/>
        <c:lblAlgn val="ctr"/>
        <c:lblOffset val="100"/>
        <c:noMultiLvlLbl val="0"/>
      </c:catAx>
      <c:valAx>
        <c:axId val="333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45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bd82c0-74d6-45af-94c5-726e9711aff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Inflation Rate Change Before and After COVID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Investigate how the onset '!$B$59</c:f>
              <c:strCache>
                <c:ptCount val="1"/>
                <c:pt idx="0">
                  <c:v>HealthCare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'4. Investigate how the onset '!$A$60:$A$80</c:f>
              <c:strCache>
                <c:ptCount val="21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June</c:v>
                </c:pt>
                <c:pt idx="12">
                  <c:v>July</c:v>
                </c:pt>
                <c:pt idx="13">
                  <c:v>August</c:v>
                </c:pt>
                <c:pt idx="14">
                  <c:v>September</c:v>
                </c:pt>
                <c:pt idx="15">
                  <c:v>October</c:v>
                </c:pt>
                <c:pt idx="16">
                  <c:v>November</c:v>
                </c:pt>
                <c:pt idx="17">
                  <c:v>December</c:v>
                </c:pt>
                <c:pt idx="18">
                  <c:v>January</c:v>
                </c:pt>
                <c:pt idx="19">
                  <c:v>February</c:v>
                </c:pt>
                <c:pt idx="20">
                  <c:v>March</c:v>
                </c:pt>
              </c:strCache>
            </c:strRef>
          </c:cat>
          <c:val>
            <c:numRef>
              <c:f>'4. Investigate how the onset '!$B$60:$B$80</c:f>
              <c:numCache>
                <c:formatCode>0.0_ </c:formatCode>
                <c:ptCount val="21"/>
                <c:pt idx="0">
                  <c:v>0.513187731232852</c:v>
                </c:pt>
                <c:pt idx="1">
                  <c:v>0.664925195915449</c:v>
                </c:pt>
                <c:pt idx="2">
                  <c:v>1.16772823779194</c:v>
                </c:pt>
                <c:pt idx="3">
                  <c:v>0.641249854261397</c:v>
                </c:pt>
                <c:pt idx="4">
                  <c:v>0.243280815569962</c:v>
                </c:pt>
                <c:pt idx="5">
                  <c:v>0.277360453022084</c:v>
                </c:pt>
                <c:pt idx="6">
                  <c:v>0.218969689985015</c:v>
                </c:pt>
                <c:pt idx="7">
                  <c:v>0.919963201471941</c:v>
                </c:pt>
                <c:pt idx="8">
                  <c:v>0.569735642661805</c:v>
                </c:pt>
                <c:pt idx="9">
                  <c:v>0.793111262179923</c:v>
                </c:pt>
                <c:pt idx="10">
                  <c:v>-0.472122302158278</c:v>
                </c:pt>
                <c:pt idx="11">
                  <c:v>3.42218206460358</c:v>
                </c:pt>
                <c:pt idx="12">
                  <c:v>0</c:v>
                </c:pt>
                <c:pt idx="13">
                  <c:v>1.08114011139019</c:v>
                </c:pt>
                <c:pt idx="14">
                  <c:v>1.58815903197925</c:v>
                </c:pt>
                <c:pt idx="15">
                  <c:v>-0.233967882590655</c:v>
                </c:pt>
                <c:pt idx="16">
                  <c:v>0.266496109156806</c:v>
                </c:pt>
                <c:pt idx="17">
                  <c:v>0.403997448437163</c:v>
                </c:pt>
                <c:pt idx="18">
                  <c:v>0.23295213892419</c:v>
                </c:pt>
                <c:pt idx="19">
                  <c:v>0.31692372702303</c:v>
                </c:pt>
                <c:pt idx="20">
                  <c:v>-0.484414490311713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'4. Investigate how the onset '!$C$59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'4. Investigate how the onset '!$A$60:$A$80</c:f>
              <c:strCache>
                <c:ptCount val="21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June</c:v>
                </c:pt>
                <c:pt idx="12">
                  <c:v>July</c:v>
                </c:pt>
                <c:pt idx="13">
                  <c:v>August</c:v>
                </c:pt>
                <c:pt idx="14">
                  <c:v>September</c:v>
                </c:pt>
                <c:pt idx="15">
                  <c:v>October</c:v>
                </c:pt>
                <c:pt idx="16">
                  <c:v>November</c:v>
                </c:pt>
                <c:pt idx="17">
                  <c:v>December</c:v>
                </c:pt>
                <c:pt idx="18">
                  <c:v>January</c:v>
                </c:pt>
                <c:pt idx="19">
                  <c:v>February</c:v>
                </c:pt>
                <c:pt idx="20">
                  <c:v>March</c:v>
                </c:pt>
              </c:strCache>
            </c:strRef>
          </c:cat>
          <c:val>
            <c:numRef>
              <c:f>'4. Investigate how the onset '!$C$60:$C$80</c:f>
              <c:numCache>
                <c:formatCode>0.0_ </c:formatCode>
                <c:ptCount val="21"/>
                <c:pt idx="0">
                  <c:v>1.22736978924892</c:v>
                </c:pt>
                <c:pt idx="1">
                  <c:v>1.28769535549196</c:v>
                </c:pt>
                <c:pt idx="2">
                  <c:v>0.512514035278355</c:v>
                </c:pt>
                <c:pt idx="3">
                  <c:v>0.562152033296694</c:v>
                </c:pt>
                <c:pt idx="4">
                  <c:v>1.50144231630624</c:v>
                </c:pt>
                <c:pt idx="5">
                  <c:v>1.31330426647367</c:v>
                </c:pt>
                <c:pt idx="6">
                  <c:v>1.81723146615559</c:v>
                </c:pt>
                <c:pt idx="7">
                  <c:v>-0.331975769191289</c:v>
                </c:pt>
                <c:pt idx="8">
                  <c:v>-1.48341460064555</c:v>
                </c:pt>
                <c:pt idx="9">
                  <c:v>-0.862669919832694</c:v>
                </c:pt>
                <c:pt idx="10">
                  <c:v>2.91113650347192</c:v>
                </c:pt>
                <c:pt idx="11">
                  <c:v>1.00271604516492</c:v>
                </c:pt>
                <c:pt idx="12">
                  <c:v>0</c:v>
                </c:pt>
                <c:pt idx="13">
                  <c:v>1.45278040860505</c:v>
                </c:pt>
                <c:pt idx="14">
                  <c:v>0.621801390301235</c:v>
                </c:pt>
                <c:pt idx="15">
                  <c:v>2.04937044400265</c:v>
                </c:pt>
                <c:pt idx="16">
                  <c:v>2.25660340601003</c:v>
                </c:pt>
                <c:pt idx="17">
                  <c:v>0.576309397177198</c:v>
                </c:pt>
                <c:pt idx="18">
                  <c:v>-1.51223362273086</c:v>
                </c:pt>
                <c:pt idx="19">
                  <c:v>-1.74060777022694</c:v>
                </c:pt>
                <c:pt idx="20">
                  <c:v>-0.0163116171337226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'4. Investigate how the onset '!$D$59</c:f>
              <c:strCache>
                <c:ptCount val="1"/>
                <c:pt idx="0">
                  <c:v>Essential Services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'4. Investigate how the onset '!$A$60:$A$80</c:f>
              <c:strCache>
                <c:ptCount val="21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June</c:v>
                </c:pt>
                <c:pt idx="12">
                  <c:v>July</c:v>
                </c:pt>
                <c:pt idx="13">
                  <c:v>August</c:v>
                </c:pt>
                <c:pt idx="14">
                  <c:v>September</c:v>
                </c:pt>
                <c:pt idx="15">
                  <c:v>October</c:v>
                </c:pt>
                <c:pt idx="16">
                  <c:v>November</c:v>
                </c:pt>
                <c:pt idx="17">
                  <c:v>December</c:v>
                </c:pt>
                <c:pt idx="18">
                  <c:v>January</c:v>
                </c:pt>
                <c:pt idx="19">
                  <c:v>February</c:v>
                </c:pt>
                <c:pt idx="20">
                  <c:v>March</c:v>
                </c:pt>
              </c:strCache>
            </c:strRef>
          </c:cat>
          <c:val>
            <c:numRef>
              <c:f>'4. Investigate how the onset '!$D$60:$D$80</c:f>
              <c:numCache>
                <c:formatCode>0.0_ </c:formatCode>
                <c:ptCount val="21"/>
                <c:pt idx="0">
                  <c:v>0.0924998072920716</c:v>
                </c:pt>
                <c:pt idx="1">
                  <c:v>-0.130920292645364</c:v>
                </c:pt>
                <c:pt idx="2">
                  <c:v>0.0925354719309104</c:v>
                </c:pt>
                <c:pt idx="3">
                  <c:v>0.346687211093991</c:v>
                </c:pt>
                <c:pt idx="4">
                  <c:v>0.614203454894434</c:v>
                </c:pt>
                <c:pt idx="5">
                  <c:v>0.625715375810763</c:v>
                </c:pt>
                <c:pt idx="6">
                  <c:v>0.280579358459092</c:v>
                </c:pt>
                <c:pt idx="7">
                  <c:v>0.559588626739252</c:v>
                </c:pt>
                <c:pt idx="8">
                  <c:v>0.872311625808403</c:v>
                </c:pt>
                <c:pt idx="9">
                  <c:v>0.335470404055464</c:v>
                </c:pt>
                <c:pt idx="10">
                  <c:v>-0.973326398692335</c:v>
                </c:pt>
                <c:pt idx="11">
                  <c:v>-0.472689075630249</c:v>
                </c:pt>
                <c:pt idx="12">
                  <c:v>0</c:v>
                </c:pt>
                <c:pt idx="13">
                  <c:v>0.897097625329822</c:v>
                </c:pt>
                <c:pt idx="14">
                  <c:v>0.201733413030471</c:v>
                </c:pt>
                <c:pt idx="15">
                  <c:v>0.089478786071139</c:v>
                </c:pt>
                <c:pt idx="16">
                  <c:v>0.536392758697761</c:v>
                </c:pt>
                <c:pt idx="17">
                  <c:v>0.407558354946276</c:v>
                </c:pt>
                <c:pt idx="18">
                  <c:v>0.693726937269379</c:v>
                </c:pt>
                <c:pt idx="19">
                  <c:v>1.69305189094107</c:v>
                </c:pt>
                <c:pt idx="20">
                  <c:v>0.843243243243247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4435025"/>
        <c:axId val="34565419"/>
      </c:lineChart>
      <c:catAx>
        <c:axId val="3444350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65419"/>
        <c:crosses val="autoZero"/>
        <c:auto val="1"/>
        <c:lblAlgn val="ctr"/>
        <c:lblOffset val="100"/>
        <c:noMultiLvlLbl val="0"/>
      </c:catAx>
      <c:valAx>
        <c:axId val="345654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4350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3a985b-ee84-4495-85e2-fa64480e128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CPI Before and After March 2020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 Investigate how the onset '!$G$38</c:f>
              <c:strCache>
                <c:ptCount val="1"/>
                <c:pt idx="0">
                  <c:v>April 2019 - February 2020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'4. Investigate how the onset '!$H$37:$J$37</c:f>
              <c:strCache>
                <c:ptCount val="3"/>
                <c:pt idx="0">
                  <c:v>Average_Food</c:v>
                </c:pt>
                <c:pt idx="1">
                  <c:v>Average_HealthCare</c:v>
                </c:pt>
                <c:pt idx="2">
                  <c:v>Average_EssentialServices</c:v>
                </c:pt>
              </c:strCache>
            </c:strRef>
          </c:cat>
          <c:val>
            <c:numRef>
              <c:f>'4. Investigate how the onset '!$H$38:$J$38</c:f>
              <c:numCache>
                <c:formatCode>General</c:formatCode>
                <c:ptCount val="3"/>
                <c:pt idx="0">
                  <c:v>1876.70333333333</c:v>
                </c:pt>
                <c:pt idx="1">
                  <c:v>287.053333333333</c:v>
                </c:pt>
                <c:pt idx="2">
                  <c:v>437.196666666667</c:v>
                </c:pt>
              </c:numCache>
            </c:numRef>
          </c:val>
        </c:ser>
        <c:ser>
          <c:idx val="1"/>
          <c:order val="1"/>
          <c:tx>
            <c:strRef>
              <c:f>'4. Investigate how the onset '!$G$39</c:f>
              <c:strCache>
                <c:ptCount val="1"/>
                <c:pt idx="0">
                  <c:v>March 2020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'4. Investigate how the onset '!$H$37:$J$37</c:f>
              <c:strCache>
                <c:ptCount val="3"/>
                <c:pt idx="0">
                  <c:v>Average_Food</c:v>
                </c:pt>
                <c:pt idx="1">
                  <c:v>Average_HealthCare</c:v>
                </c:pt>
                <c:pt idx="2">
                  <c:v>Average_EssentialServices</c:v>
                </c:pt>
              </c:strCache>
            </c:strRef>
          </c:cat>
          <c:val>
            <c:numRef>
              <c:f>'4. Investigate how the onset '!$H$39:$J$39</c:f>
              <c:numCache>
                <c:formatCode>General</c:formatCode>
                <c:ptCount val="3"/>
                <c:pt idx="0">
                  <c:v>1896.16666666667</c:v>
                </c:pt>
                <c:pt idx="1">
                  <c:v>296.533333333333</c:v>
                </c:pt>
                <c:pt idx="2">
                  <c:v>448.633333333333</c:v>
                </c:pt>
              </c:numCache>
            </c:numRef>
          </c:val>
        </c:ser>
        <c:ser>
          <c:idx val="2"/>
          <c:order val="2"/>
          <c:tx>
            <c:strRef>
              <c:f>'4. Investigate how the onset '!$G$40</c:f>
              <c:strCache>
                <c:ptCount val="1"/>
                <c:pt idx="0">
                  <c:v>April 2020 - March 2021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'4. Investigate how the onset '!$H$37:$J$37</c:f>
              <c:strCache>
                <c:ptCount val="3"/>
                <c:pt idx="0">
                  <c:v>Average_Food</c:v>
                </c:pt>
                <c:pt idx="1">
                  <c:v>Average_HealthCare</c:v>
                </c:pt>
                <c:pt idx="2">
                  <c:v>Average_EssentialServices</c:v>
                </c:pt>
              </c:strCache>
            </c:strRef>
          </c:cat>
          <c:val>
            <c:numRef>
              <c:f>'4. Investigate how the onset '!$H$40:$J$40</c:f>
              <c:numCache>
                <c:formatCode>General</c:formatCode>
                <c:ptCount val="3"/>
                <c:pt idx="0">
                  <c:v>2030.52121212121</c:v>
                </c:pt>
                <c:pt idx="1">
                  <c:v>310.515151515152</c:v>
                </c:pt>
                <c:pt idx="2">
                  <c:v>450.4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48539569"/>
        <c:axId val="994547809"/>
      </c:barChart>
      <c:catAx>
        <c:axId val="3485395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547809"/>
        <c:crosses val="autoZero"/>
        <c:auto val="1"/>
        <c:lblAlgn val="ctr"/>
        <c:lblOffset val="100"/>
        <c:noMultiLvlLbl val="0"/>
      </c:catAx>
      <c:valAx>
        <c:axId val="994547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5395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8144b7-8b8a-4f05-99ff-f802efb84bd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IN" altLang="en-US"/>
              <a:t>orrelation b/w oil prices and other categogies(2021-2023)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Correlation on Oil Prices'!$B$32</c:f>
              <c:strCache>
                <c:ptCount val="1"/>
                <c:pt idx="0">
                  <c:v>Oil Prices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'5. Correlation on Oil Prices'!$A$33:$A$61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'5. Correlation on Oil Prices'!$B$33:$B$61</c:f>
              <c:numCache>
                <c:formatCode>0.00_ </c:formatCode>
                <c:ptCount val="29"/>
                <c:pt idx="0">
                  <c:v>2.43506493506494</c:v>
                </c:pt>
                <c:pt idx="1">
                  <c:v>3.21485170930496</c:v>
                </c:pt>
                <c:pt idx="2">
                  <c:v>2.28120201798641</c:v>
                </c:pt>
                <c:pt idx="3">
                  <c:v>0.0428908428050587</c:v>
                </c:pt>
                <c:pt idx="4">
                  <c:v>2.16505894962487</c:v>
                </c:pt>
                <c:pt idx="5">
                  <c:v>0.293747377255555</c:v>
                </c:pt>
                <c:pt idx="6">
                  <c:v>0.606694560669451</c:v>
                </c:pt>
                <c:pt idx="7">
                  <c:v>1.14368891661468</c:v>
                </c:pt>
                <c:pt idx="8">
                  <c:v>0.14391447368422</c:v>
                </c:pt>
                <c:pt idx="9">
                  <c:v>0.985423937589808</c:v>
                </c:pt>
                <c:pt idx="10">
                  <c:v>-0.223622687538111</c:v>
                </c:pt>
                <c:pt idx="11">
                  <c:v>0.122249388753049</c:v>
                </c:pt>
                <c:pt idx="12">
                  <c:v>0.04070004070005</c:v>
                </c:pt>
                <c:pt idx="13">
                  <c:v>0.915378356387307</c:v>
                </c:pt>
                <c:pt idx="14">
                  <c:v>0.907075186454344</c:v>
                </c:pt>
                <c:pt idx="15">
                  <c:v>3.07630842988413</c:v>
                </c:pt>
                <c:pt idx="16">
                  <c:v>1.43410852713178</c:v>
                </c:pt>
                <c:pt idx="17">
                  <c:v>0.8024455483378</c:v>
                </c:pt>
                <c:pt idx="18">
                  <c:v>2.10386656557999</c:v>
                </c:pt>
                <c:pt idx="19">
                  <c:v>-0.445516985335083</c:v>
                </c:pt>
                <c:pt idx="20">
                  <c:v>0.391571881409663</c:v>
                </c:pt>
                <c:pt idx="21">
                  <c:v>0.538632986627039</c:v>
                </c:pt>
                <c:pt idx="22">
                  <c:v>0.406428967300951</c:v>
                </c:pt>
                <c:pt idx="23">
                  <c:v>0.349586016559333</c:v>
                </c:pt>
                <c:pt idx="24">
                  <c:v>-0.0183351668500225</c:v>
                </c:pt>
                <c:pt idx="25">
                  <c:v>0.220062350999458</c:v>
                </c:pt>
                <c:pt idx="26">
                  <c:v>-0.109789569990855</c:v>
                </c:pt>
                <c:pt idx="27">
                  <c:v>-0.109910239970695</c:v>
                </c:pt>
                <c:pt idx="28">
                  <c:v>0.623509994498458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'5. Correlation on Oil Prices'!$C$32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'5. Correlation on Oil Prices'!$A$33:$A$61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'5. Correlation on Oil Prices'!$C$33:$C$61</c:f>
              <c:numCache>
                <c:formatCode>0.00_ </c:formatCode>
                <c:ptCount val="29"/>
                <c:pt idx="0">
                  <c:v>-1.51223362273086</c:v>
                </c:pt>
                <c:pt idx="1">
                  <c:v>-1.74060777022694</c:v>
                </c:pt>
                <c:pt idx="2">
                  <c:v>-0.0163116171337226</c:v>
                </c:pt>
                <c:pt idx="3">
                  <c:v>1.20073087966587</c:v>
                </c:pt>
                <c:pt idx="4">
                  <c:v>1.97478720660304</c:v>
                </c:pt>
                <c:pt idx="5">
                  <c:v>1.3437248051599</c:v>
                </c:pt>
                <c:pt idx="6">
                  <c:v>0.631756282465253</c:v>
                </c:pt>
                <c:pt idx="7">
                  <c:v>-0.317770337301587</c:v>
                </c:pt>
                <c:pt idx="8">
                  <c:v>0.0435411386007772</c:v>
                </c:pt>
                <c:pt idx="9">
                  <c:v>1.62586461490636</c:v>
                </c:pt>
                <c:pt idx="10">
                  <c:v>0.854988452302651</c:v>
                </c:pt>
                <c:pt idx="11">
                  <c:v>-0.585380649074922</c:v>
                </c:pt>
                <c:pt idx="12">
                  <c:v>-0.919852335479136</c:v>
                </c:pt>
                <c:pt idx="13">
                  <c:v>-0.135303433324609</c:v>
                </c:pt>
                <c:pt idx="14">
                  <c:v>0.993056303983002</c:v>
                </c:pt>
                <c:pt idx="15">
                  <c:v>1.39795109457893</c:v>
                </c:pt>
                <c:pt idx="16">
                  <c:v>1.15165456376948</c:v>
                </c:pt>
                <c:pt idx="17">
                  <c:v>1.03747083042257</c:v>
                </c:pt>
                <c:pt idx="18">
                  <c:v>0.186827897671269</c:v>
                </c:pt>
                <c:pt idx="19">
                  <c:v>0.121872430400567</c:v>
                </c:pt>
                <c:pt idx="20">
                  <c:v>0.533826095883387</c:v>
                </c:pt>
                <c:pt idx="21">
                  <c:v>0.714796283059328</c:v>
                </c:pt>
                <c:pt idx="22">
                  <c:v>-0.0753175649251999</c:v>
                </c:pt>
                <c:pt idx="23">
                  <c:v>-0.617489744741908</c:v>
                </c:pt>
                <c:pt idx="24">
                  <c:v>-0.121056546533847</c:v>
                </c:pt>
                <c:pt idx="25">
                  <c:v>-0.553288508734993</c:v>
                </c:pt>
                <c:pt idx="26">
                  <c:v>0.00584112149532179</c:v>
                </c:pt>
                <c:pt idx="27">
                  <c:v>0.483324572162846</c:v>
                </c:pt>
                <c:pt idx="28">
                  <c:v>0.744023832013367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'5. Correlation on Oil Prices'!$D$32</c:f>
              <c:strCache>
                <c:ptCount val="1"/>
                <c:pt idx="0">
                  <c:v>HealthCare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'5. Correlation on Oil Prices'!$A$33:$A$61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'5. Correlation on Oil Prices'!$D$33:$D$61</c:f>
              <c:numCache>
                <c:formatCode>0.00_ </c:formatCode>
                <c:ptCount val="29"/>
                <c:pt idx="0">
                  <c:v>0.23295213892419</c:v>
                </c:pt>
                <c:pt idx="1">
                  <c:v>0.31692372702303</c:v>
                </c:pt>
                <c:pt idx="2">
                  <c:v>-0.484414490311713</c:v>
                </c:pt>
                <c:pt idx="3">
                  <c:v>0.708994708994714</c:v>
                </c:pt>
                <c:pt idx="4">
                  <c:v>1.99642744562362</c:v>
                </c:pt>
                <c:pt idx="5">
                  <c:v>0.236942412691867</c:v>
                </c:pt>
                <c:pt idx="6">
                  <c:v>0.616649537512847</c:v>
                </c:pt>
                <c:pt idx="7">
                  <c:v>0.326864147088871</c:v>
                </c:pt>
                <c:pt idx="8">
                  <c:v>0.0712685807371138</c:v>
                </c:pt>
                <c:pt idx="9">
                  <c:v>0.447654898768947</c:v>
                </c:pt>
                <c:pt idx="10">
                  <c:v>0.668489820723187</c:v>
                </c:pt>
                <c:pt idx="11">
                  <c:v>0.362209477814672</c:v>
                </c:pt>
                <c:pt idx="12">
                  <c:v>1.03258145363408</c:v>
                </c:pt>
                <c:pt idx="13">
                  <c:v>0.659208949260878</c:v>
                </c:pt>
                <c:pt idx="14">
                  <c:v>1.07164119865053</c:v>
                </c:pt>
                <c:pt idx="15">
                  <c:v>0.746122128411547</c:v>
                </c:pt>
                <c:pt idx="16">
                  <c:v>0.146170337166244</c:v>
                </c:pt>
                <c:pt idx="17">
                  <c:v>0.476792838376945</c:v>
                </c:pt>
                <c:pt idx="18">
                  <c:v>0.309897346503975</c:v>
                </c:pt>
                <c:pt idx="19">
                  <c:v>0.646843019888014</c:v>
                </c:pt>
                <c:pt idx="20">
                  <c:v>0.201438848920855</c:v>
                </c:pt>
                <c:pt idx="21">
                  <c:v>0.612674708022218</c:v>
                </c:pt>
                <c:pt idx="22">
                  <c:v>0.732635585156998</c:v>
                </c:pt>
                <c:pt idx="23">
                  <c:v>1.00122792103522</c:v>
                </c:pt>
                <c:pt idx="24">
                  <c:v>2.39408959132144</c:v>
                </c:pt>
                <c:pt idx="25">
                  <c:v>1.25774530657543</c:v>
                </c:pt>
                <c:pt idx="26">
                  <c:v>0.00913325417845548</c:v>
                </c:pt>
                <c:pt idx="27">
                  <c:v>0.995433789954346</c:v>
                </c:pt>
                <c:pt idx="28">
                  <c:v>0.49733248937517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'5. Correlation on Oil Prices'!$E$32</c:f>
              <c:strCache>
                <c:ptCount val="1"/>
                <c:pt idx="0">
                  <c:v>Essential Services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>
              <a:outerShdw blurRad="50800" dist="25400" dir="5400000" algn="t" rotWithShape="0">
                <a:schemeClr val="accent4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'5. Correlation on Oil Prices'!$A$33:$A$61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'5. Correlation on Oil Prices'!$E$33:$E$61</c:f>
              <c:numCache>
                <c:formatCode>0.00_ </c:formatCode>
                <c:ptCount val="29"/>
                <c:pt idx="0">
                  <c:v>0.693726937269379</c:v>
                </c:pt>
                <c:pt idx="1">
                  <c:v>1.69305189094107</c:v>
                </c:pt>
                <c:pt idx="2">
                  <c:v>0.843243243243247</c:v>
                </c:pt>
                <c:pt idx="3">
                  <c:v>0.457404230989127</c:v>
                </c:pt>
                <c:pt idx="4">
                  <c:v>1.38019351166762</c:v>
                </c:pt>
                <c:pt idx="5">
                  <c:v>-0.119298245614038</c:v>
                </c:pt>
                <c:pt idx="6">
                  <c:v>0.625307384247881</c:v>
                </c:pt>
                <c:pt idx="7">
                  <c:v>0.844854070660516</c:v>
                </c:pt>
                <c:pt idx="8">
                  <c:v>0.0830852316000862</c:v>
                </c:pt>
                <c:pt idx="9">
                  <c:v>0.823244552058118</c:v>
                </c:pt>
                <c:pt idx="10">
                  <c:v>0.23329216412789</c:v>
                </c:pt>
                <c:pt idx="11">
                  <c:v>0.0616100766703239</c:v>
                </c:pt>
                <c:pt idx="12">
                  <c:v>1.08093316001915</c:v>
                </c:pt>
                <c:pt idx="13">
                  <c:v>0.653995503780905</c:v>
                </c:pt>
                <c:pt idx="14">
                  <c:v>0.467005076142138</c:v>
                </c:pt>
                <c:pt idx="15">
                  <c:v>1.62355160334141</c:v>
                </c:pt>
                <c:pt idx="16">
                  <c:v>0.835266821345702</c:v>
                </c:pt>
                <c:pt idx="17">
                  <c:v>0.374728814673595</c:v>
                </c:pt>
                <c:pt idx="18">
                  <c:v>1.1199895205659</c:v>
                </c:pt>
                <c:pt idx="19">
                  <c:v>0.284992551331036</c:v>
                </c:pt>
                <c:pt idx="20">
                  <c:v>0.43273267454628</c:v>
                </c:pt>
                <c:pt idx="21">
                  <c:v>0.688102893890678</c:v>
                </c:pt>
                <c:pt idx="22">
                  <c:v>0.447084371207766</c:v>
                </c:pt>
                <c:pt idx="23">
                  <c:v>0.0381509505945132</c:v>
                </c:pt>
                <c:pt idx="24">
                  <c:v>0.997902497934281</c:v>
                </c:pt>
                <c:pt idx="25">
                  <c:v>0.588719377096914</c:v>
                </c:pt>
                <c:pt idx="26">
                  <c:v>-0.0377595972309571</c:v>
                </c:pt>
                <c:pt idx="27">
                  <c:v>0.365147318055902</c:v>
                </c:pt>
                <c:pt idx="28">
                  <c:v>0.401455275373219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3772108"/>
        <c:axId val="837060335"/>
      </c:lineChart>
      <c:catAx>
        <c:axId val="8837721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7060335"/>
        <c:crosses val="autoZero"/>
        <c:auto val="1"/>
        <c:lblAlgn val="ctr"/>
        <c:lblOffset val="100"/>
        <c:noMultiLvlLbl val="0"/>
      </c:catAx>
      <c:valAx>
        <c:axId val="83706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7721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308058-816f-4319-b624-52f4330d08f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160020</xdr:colOff>
      <xdr:row>23</xdr:row>
      <xdr:rowOff>36195</xdr:rowOff>
    </xdr:from>
    <xdr:to>
      <xdr:col>15</xdr:col>
      <xdr:colOff>710565</xdr:colOff>
      <xdr:row>46</xdr:row>
      <xdr:rowOff>19685</xdr:rowOff>
    </xdr:to>
    <xdr:graphicFrame>
      <xdr:nvGraphicFramePr>
        <xdr:cNvPr id="3" name="Chart 2"/>
        <xdr:cNvGraphicFramePr/>
      </xdr:nvGraphicFramePr>
      <xdr:xfrm>
        <a:off x="8229600" y="4242435"/>
        <a:ext cx="5854065" cy="4189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0</xdr:row>
      <xdr:rowOff>106680</xdr:rowOff>
    </xdr:from>
    <xdr:to>
      <xdr:col>17</xdr:col>
      <xdr:colOff>1920240</xdr:colOff>
      <xdr:row>6</xdr:row>
      <xdr:rowOff>129540</xdr:rowOff>
    </xdr:to>
    <xdr:sp>
      <xdr:nvSpPr>
        <xdr:cNvPr id="5" name="Rectangles 4"/>
        <xdr:cNvSpPr/>
      </xdr:nvSpPr>
      <xdr:spPr>
        <a:xfrm>
          <a:off x="7094220" y="106680"/>
          <a:ext cx="9845040" cy="112014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4800" b="1"/>
            <a:t>Highest of CPI Month Analysis:</a:t>
          </a:r>
          <a:endParaRPr lang="en-IN" altLang="en-US" sz="4800" b="1"/>
        </a:p>
      </xdr:txBody>
    </xdr:sp>
    <xdr:clientData/>
  </xdr:twoCellAnchor>
  <xdr:twoCellAnchor>
    <xdr:from>
      <xdr:col>17</xdr:col>
      <xdr:colOff>190500</xdr:colOff>
      <xdr:row>31</xdr:row>
      <xdr:rowOff>76200</xdr:rowOff>
    </xdr:from>
    <xdr:to>
      <xdr:col>20</xdr:col>
      <xdr:colOff>91440</xdr:colOff>
      <xdr:row>34</xdr:row>
      <xdr:rowOff>30480</xdr:rowOff>
    </xdr:to>
    <xdr:sp>
      <xdr:nvSpPr>
        <xdr:cNvPr id="2" name="Rounded Rectangle 1"/>
        <xdr:cNvSpPr/>
      </xdr:nvSpPr>
      <xdr:spPr>
        <a:xfrm>
          <a:off x="15209520" y="5745480"/>
          <a:ext cx="3352800" cy="5029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1400" b="1"/>
            <a:t>Food has the highest CPI about 48%</a:t>
          </a:r>
          <a:endParaRPr lang="en-IN" alt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17780</xdr:colOff>
      <xdr:row>9</xdr:row>
      <xdr:rowOff>160020</xdr:rowOff>
    </xdr:from>
    <xdr:to>
      <xdr:col>18</xdr:col>
      <xdr:colOff>210820</xdr:colOff>
      <xdr:row>22</xdr:row>
      <xdr:rowOff>198120</xdr:rowOff>
    </xdr:to>
    <xdr:graphicFrame>
      <xdr:nvGraphicFramePr>
        <xdr:cNvPr id="2" name="Chart 1"/>
        <xdr:cNvGraphicFramePr/>
      </xdr:nvGraphicFramePr>
      <xdr:xfrm>
        <a:off x="4757420" y="1826260"/>
        <a:ext cx="8811260" cy="2679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0</xdr:row>
      <xdr:rowOff>45720</xdr:rowOff>
    </xdr:from>
    <xdr:to>
      <xdr:col>21</xdr:col>
      <xdr:colOff>167640</xdr:colOff>
      <xdr:row>6</xdr:row>
      <xdr:rowOff>159385</xdr:rowOff>
    </xdr:to>
    <xdr:sp>
      <xdr:nvSpPr>
        <xdr:cNvPr id="3" name="Rectangles 2"/>
        <xdr:cNvSpPr/>
      </xdr:nvSpPr>
      <xdr:spPr>
        <a:xfrm>
          <a:off x="3284220" y="45720"/>
          <a:ext cx="12070080" cy="121094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400" b="1"/>
            <a:t>A trend of Y-o-Y increase in CPI (rural + urban) inflation starting 2017 for the entire basket of products combined.</a:t>
          </a:r>
          <a:endParaRPr lang="en-IN" altLang="en-US" sz="2400" b="1"/>
        </a:p>
      </xdr:txBody>
    </xdr:sp>
    <xdr:clientData/>
  </xdr:twoCellAnchor>
  <xdr:twoCellAnchor>
    <xdr:from>
      <xdr:col>10</xdr:col>
      <xdr:colOff>688340</xdr:colOff>
      <xdr:row>43</xdr:row>
      <xdr:rowOff>152400</xdr:rowOff>
    </xdr:from>
    <xdr:to>
      <xdr:col>17</xdr:col>
      <xdr:colOff>263525</xdr:colOff>
      <xdr:row>54</xdr:row>
      <xdr:rowOff>106680</xdr:rowOff>
    </xdr:to>
    <xdr:graphicFrame>
      <xdr:nvGraphicFramePr>
        <xdr:cNvPr id="4" name="Chart 3"/>
        <xdr:cNvGraphicFramePr/>
      </xdr:nvGraphicFramePr>
      <xdr:xfrm>
        <a:off x="7965440" y="8727440"/>
        <a:ext cx="5046345" cy="218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667385</xdr:colOff>
      <xdr:row>58</xdr:row>
      <xdr:rowOff>191135</xdr:rowOff>
    </xdr:from>
    <xdr:to>
      <xdr:col>14</xdr:col>
      <xdr:colOff>90170</xdr:colOff>
      <xdr:row>67</xdr:row>
      <xdr:rowOff>80010</xdr:rowOff>
    </xdr:to>
    <xdr:sp>
      <xdr:nvSpPr>
        <xdr:cNvPr id="5" name="Rounded Rectangle 4"/>
        <xdr:cNvSpPr/>
      </xdr:nvSpPr>
      <xdr:spPr>
        <a:xfrm>
          <a:off x="6161405" y="11814175"/>
          <a:ext cx="4573905" cy="17176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400" b="1"/>
            <a:t>Conclusion:</a:t>
          </a:r>
          <a:endParaRPr lang="en-IN" altLang="en-US" sz="1400"/>
        </a:p>
        <a:p>
          <a:pPr algn="l"/>
          <a:endParaRPr lang="en-IN" altLang="en-US" sz="1400"/>
        </a:p>
        <a:p>
          <a:pPr algn="l"/>
          <a:r>
            <a:rPr lang="en-IN" altLang="en-US" sz="1400"/>
            <a:t>* In the year </a:t>
          </a:r>
          <a:r>
            <a:rPr lang="en-IN" altLang="en-US" sz="1400" b="1"/>
            <a:t>2019 - 2020</a:t>
          </a:r>
          <a:r>
            <a:rPr lang="en-IN" altLang="en-US" sz="1400"/>
            <a:t> has highest Growth Rate in </a:t>
          </a:r>
          <a:r>
            <a:rPr lang="en-IN" altLang="en-US" sz="1400">
              <a:sym typeface="+mn-ea"/>
            </a:rPr>
            <a:t>A trend of Y-o-Y increase in CPI (rural + urban) inflation starting 2017 for the entire basket of products combined</a:t>
          </a:r>
          <a:r>
            <a:rPr lang="en-IN" altLang="en-US" sz="1400"/>
            <a:t> </a:t>
          </a:r>
          <a:endParaRPr lang="en-IN" altLang="en-U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739140</xdr:colOff>
      <xdr:row>0</xdr:row>
      <xdr:rowOff>76200</xdr:rowOff>
    </xdr:from>
    <xdr:to>
      <xdr:col>9</xdr:col>
      <xdr:colOff>2042795</xdr:colOff>
      <xdr:row>6</xdr:row>
      <xdr:rowOff>127635</xdr:rowOff>
    </xdr:to>
    <xdr:sp>
      <xdr:nvSpPr>
        <xdr:cNvPr id="2" name="Rectangles 1"/>
        <xdr:cNvSpPr/>
      </xdr:nvSpPr>
      <xdr:spPr>
        <a:xfrm>
          <a:off x="2896235" y="76200"/>
          <a:ext cx="23249255" cy="114871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3200" b="1"/>
            <a:t>Part - 1 : Th</a:t>
          </a:r>
          <a:endParaRPr lang="en-IN" altLang="en-US" sz="3200" b="1"/>
        </a:p>
      </xdr:txBody>
    </xdr:sp>
    <xdr:clientData/>
  </xdr:twoCellAnchor>
  <xdr:twoCellAnchor>
    <xdr:from>
      <xdr:col>7</xdr:col>
      <xdr:colOff>612140</xdr:colOff>
      <xdr:row>19</xdr:row>
      <xdr:rowOff>175260</xdr:rowOff>
    </xdr:from>
    <xdr:to>
      <xdr:col>11</xdr:col>
      <xdr:colOff>1558290</xdr:colOff>
      <xdr:row>39</xdr:row>
      <xdr:rowOff>30480</xdr:rowOff>
    </xdr:to>
    <xdr:graphicFrame>
      <xdr:nvGraphicFramePr>
        <xdr:cNvPr id="3" name="Chart 2"/>
        <xdr:cNvGraphicFramePr/>
      </xdr:nvGraphicFramePr>
      <xdr:xfrm>
        <a:off x="19228435" y="3649980"/>
        <a:ext cx="11918950" cy="3512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846455</xdr:colOff>
      <xdr:row>44</xdr:row>
      <xdr:rowOff>12065</xdr:rowOff>
    </xdr:from>
    <xdr:to>
      <xdr:col>9</xdr:col>
      <xdr:colOff>2072640</xdr:colOff>
      <xdr:row>50</xdr:row>
      <xdr:rowOff>54610</xdr:rowOff>
    </xdr:to>
    <xdr:sp>
      <xdr:nvSpPr>
        <xdr:cNvPr id="4" name="Rectangles 3"/>
        <xdr:cNvSpPr/>
      </xdr:nvSpPr>
      <xdr:spPr>
        <a:xfrm>
          <a:off x="3003550" y="8058785"/>
          <a:ext cx="23171785" cy="113982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3000" b="1"/>
            <a:t>Part 2: Identify Absolute Changes and Largest Contributor in Food Category</a:t>
          </a:r>
          <a:endParaRPr lang="en-US" sz="3000" b="1"/>
        </a:p>
      </xdr:txBody>
    </xdr:sp>
    <xdr:clientData/>
  </xdr:twoCellAnchor>
  <xdr:twoCellAnchor>
    <xdr:from>
      <xdr:col>2</xdr:col>
      <xdr:colOff>775335</xdr:colOff>
      <xdr:row>91</xdr:row>
      <xdr:rowOff>120015</xdr:rowOff>
    </xdr:from>
    <xdr:to>
      <xdr:col>5</xdr:col>
      <xdr:colOff>1878330</xdr:colOff>
      <xdr:row>108</xdr:row>
      <xdr:rowOff>60960</xdr:rowOff>
    </xdr:to>
    <xdr:graphicFrame>
      <xdr:nvGraphicFramePr>
        <xdr:cNvPr id="5" name="Chart 4"/>
        <xdr:cNvGraphicFramePr/>
      </xdr:nvGraphicFramePr>
      <xdr:xfrm>
        <a:off x="5675630" y="16762095"/>
        <a:ext cx="9332595" cy="304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1588770</xdr:colOff>
      <xdr:row>92</xdr:row>
      <xdr:rowOff>74295</xdr:rowOff>
    </xdr:from>
    <xdr:to>
      <xdr:col>7</xdr:col>
      <xdr:colOff>2609215</xdr:colOff>
      <xdr:row>105</xdr:row>
      <xdr:rowOff>55880</xdr:rowOff>
    </xdr:to>
    <xdr:sp>
      <xdr:nvSpPr>
        <xdr:cNvPr id="6" name="Rounded Rectangle 5"/>
        <xdr:cNvSpPr/>
      </xdr:nvSpPr>
      <xdr:spPr>
        <a:xfrm>
          <a:off x="17461865" y="16899255"/>
          <a:ext cx="3763645" cy="235902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400" b="1"/>
            <a:t>Conclusion:</a:t>
          </a:r>
          <a:endParaRPr lang="en-IN" altLang="en-US" sz="1400"/>
        </a:p>
        <a:p>
          <a:pPr algn="l"/>
          <a:r>
            <a:rPr lang="en-IN" altLang="en-US" sz="1400"/>
            <a:t>* The </a:t>
          </a:r>
          <a:r>
            <a:rPr lang="en-IN" altLang="en-US" sz="1400">
              <a:sym typeface="+mn-ea"/>
            </a:rPr>
            <a:t>Investigate Month-on-Month Changes in Food Inflation is in </a:t>
          </a:r>
          <a:r>
            <a:rPr lang="en-IN" altLang="en-US" sz="1400" b="1">
              <a:sym typeface="+mn-ea"/>
            </a:rPr>
            <a:t>September - October (2022) </a:t>
          </a:r>
          <a:r>
            <a:rPr lang="en-IN" altLang="en-US" sz="1400">
              <a:sym typeface="+mn-ea"/>
            </a:rPr>
            <a:t>Month with 71% amd </a:t>
          </a:r>
          <a:r>
            <a:rPr lang="en-IN" altLang="en-US" sz="1400" b="1">
              <a:sym typeface="+mn-ea"/>
            </a:rPr>
            <a:t>April - May</a:t>
          </a:r>
          <a:r>
            <a:rPr lang="en-IN" altLang="en-US" sz="1400">
              <a:sym typeface="+mn-ea"/>
            </a:rPr>
            <a:t>(2023) with 74%..</a:t>
          </a:r>
          <a:endParaRPr lang="en-IN" altLang="en-US" sz="1400">
            <a:sym typeface="+mn-ea"/>
          </a:endParaRPr>
        </a:p>
        <a:p>
          <a:pPr algn="l"/>
          <a:r>
            <a:rPr lang="en-IN" altLang="en-US" sz="1400">
              <a:sym typeface="+mn-ea"/>
            </a:rPr>
            <a:t> </a:t>
          </a:r>
          <a:endParaRPr lang="en-IN" altLang="en-US" sz="1400">
            <a:sym typeface="+mn-ea"/>
          </a:endParaRPr>
        </a:p>
        <a:p>
          <a:pPr algn="l"/>
          <a:r>
            <a:rPr lang="en-IN" altLang="en-US" sz="1400"/>
            <a:t>* The Absolute Change in Food category is mainly in </a:t>
          </a:r>
          <a:r>
            <a:rPr lang="en-IN" altLang="en-US" sz="1400" b="1"/>
            <a:t>Vegetables</a:t>
          </a:r>
          <a:r>
            <a:rPr lang="en-IN" altLang="en-US" sz="1400"/>
            <a:t> with 91.4%.</a:t>
          </a:r>
          <a:endParaRPr lang="en-IN" altLang="en-US" sz="3200" b="1"/>
        </a:p>
        <a:p>
          <a:pPr algn="l"/>
          <a:endParaRPr lang="en-I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30</xdr:row>
      <xdr:rowOff>160020</xdr:rowOff>
    </xdr:from>
    <xdr:to>
      <xdr:col>4</xdr:col>
      <xdr:colOff>1051560</xdr:colOff>
      <xdr:row>34</xdr:row>
      <xdr:rowOff>38100</xdr:rowOff>
    </xdr:to>
    <xdr:sp>
      <xdr:nvSpPr>
        <xdr:cNvPr id="2" name="Rounded Rectangle 1"/>
        <xdr:cNvSpPr/>
      </xdr:nvSpPr>
      <xdr:spPr>
        <a:xfrm>
          <a:off x="5928360" y="5646420"/>
          <a:ext cx="746760" cy="60960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600" b="1"/>
            <a:t>2019</a:t>
          </a:r>
          <a:endParaRPr lang="en-IN" altLang="en-US" sz="1600" b="1"/>
        </a:p>
      </xdr:txBody>
    </xdr:sp>
    <xdr:clientData/>
  </xdr:twoCellAnchor>
  <xdr:twoCellAnchor>
    <xdr:from>
      <xdr:col>4</xdr:col>
      <xdr:colOff>365760</xdr:colOff>
      <xdr:row>39</xdr:row>
      <xdr:rowOff>99060</xdr:rowOff>
    </xdr:from>
    <xdr:to>
      <xdr:col>4</xdr:col>
      <xdr:colOff>1112520</xdr:colOff>
      <xdr:row>42</xdr:row>
      <xdr:rowOff>160020</xdr:rowOff>
    </xdr:to>
    <xdr:sp>
      <xdr:nvSpPr>
        <xdr:cNvPr id="3" name="Rounded Rectangle 2"/>
        <xdr:cNvSpPr/>
      </xdr:nvSpPr>
      <xdr:spPr>
        <a:xfrm>
          <a:off x="5989320" y="7231380"/>
          <a:ext cx="746760" cy="60960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600" b="1"/>
            <a:t>2020</a:t>
          </a:r>
          <a:endParaRPr lang="en-IN" altLang="en-US" sz="1600" b="1"/>
        </a:p>
      </xdr:txBody>
    </xdr:sp>
    <xdr:clientData/>
  </xdr:twoCellAnchor>
  <xdr:twoCellAnchor>
    <xdr:from>
      <xdr:col>4</xdr:col>
      <xdr:colOff>411480</xdr:colOff>
      <xdr:row>47</xdr:row>
      <xdr:rowOff>53340</xdr:rowOff>
    </xdr:from>
    <xdr:to>
      <xdr:col>4</xdr:col>
      <xdr:colOff>1158240</xdr:colOff>
      <xdr:row>50</xdr:row>
      <xdr:rowOff>114300</xdr:rowOff>
    </xdr:to>
    <xdr:sp>
      <xdr:nvSpPr>
        <xdr:cNvPr id="4" name="Rounded Rectangle 3"/>
        <xdr:cNvSpPr/>
      </xdr:nvSpPr>
      <xdr:spPr>
        <a:xfrm>
          <a:off x="6035040" y="8648700"/>
          <a:ext cx="746760" cy="61912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600" b="1"/>
            <a:t>2021</a:t>
          </a:r>
          <a:endParaRPr lang="en-IN" altLang="en-US" sz="1600" b="1"/>
        </a:p>
        <a:p>
          <a:pPr algn="l"/>
          <a:endParaRPr lang="en-IN" altLang="en-US" sz="1600" b="1"/>
        </a:p>
      </xdr:txBody>
    </xdr:sp>
    <xdr:clientData/>
  </xdr:twoCellAnchor>
  <xdr:twoCellAnchor>
    <xdr:from>
      <xdr:col>0</xdr:col>
      <xdr:colOff>792480</xdr:colOff>
      <xdr:row>53</xdr:row>
      <xdr:rowOff>68580</xdr:rowOff>
    </xdr:from>
    <xdr:to>
      <xdr:col>5</xdr:col>
      <xdr:colOff>617220</xdr:colOff>
      <xdr:row>56</xdr:row>
      <xdr:rowOff>167640</xdr:rowOff>
    </xdr:to>
    <xdr:sp>
      <xdr:nvSpPr>
        <xdr:cNvPr id="5" name="Rectangles 4"/>
        <xdr:cNvSpPr/>
      </xdr:nvSpPr>
      <xdr:spPr>
        <a:xfrm>
          <a:off x="792480" y="9770745"/>
          <a:ext cx="7025640" cy="6477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IN" altLang="en-US" sz="2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Calculate Inflation Rate Change Before and After COVID</a:t>
          </a:r>
          <a:endParaRPr lang="en-IN" altLang="en-US" sz="2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952500</xdr:colOff>
      <xdr:row>30</xdr:row>
      <xdr:rowOff>167640</xdr:rowOff>
    </xdr:from>
    <xdr:to>
      <xdr:col>10</xdr:col>
      <xdr:colOff>114300</xdr:colOff>
      <xdr:row>34</xdr:row>
      <xdr:rowOff>144780</xdr:rowOff>
    </xdr:to>
    <xdr:sp>
      <xdr:nvSpPr>
        <xdr:cNvPr id="6" name="Rectangles 5"/>
        <xdr:cNvSpPr/>
      </xdr:nvSpPr>
      <xdr:spPr>
        <a:xfrm>
          <a:off x="8153400" y="5654040"/>
          <a:ext cx="7147560" cy="70866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IN" alt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Calculate the Average Monthly CPI Before and After March 2020</a:t>
          </a:r>
          <a:endParaRPr lang="en-IN" alt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261620</xdr:colOff>
      <xdr:row>60</xdr:row>
      <xdr:rowOff>86360</xdr:rowOff>
    </xdr:from>
    <xdr:to>
      <xdr:col>10</xdr:col>
      <xdr:colOff>644525</xdr:colOff>
      <xdr:row>76</xdr:row>
      <xdr:rowOff>100965</xdr:rowOff>
    </xdr:to>
    <xdr:graphicFrame>
      <xdr:nvGraphicFramePr>
        <xdr:cNvPr id="7" name="Chart 6"/>
        <xdr:cNvGraphicFramePr/>
      </xdr:nvGraphicFramePr>
      <xdr:xfrm>
        <a:off x="7462520" y="11068685"/>
        <a:ext cx="8368665" cy="2940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524510</xdr:colOff>
      <xdr:row>84</xdr:row>
      <xdr:rowOff>7620</xdr:rowOff>
    </xdr:from>
    <xdr:to>
      <xdr:col>6</xdr:col>
      <xdr:colOff>80010</xdr:colOff>
      <xdr:row>96</xdr:row>
      <xdr:rowOff>79375</xdr:rowOff>
    </xdr:to>
    <xdr:sp>
      <xdr:nvSpPr>
        <xdr:cNvPr id="10" name="Flowchart: Alternate Process 9"/>
        <xdr:cNvSpPr/>
      </xdr:nvSpPr>
      <xdr:spPr>
        <a:xfrm>
          <a:off x="2932430" y="15388590"/>
          <a:ext cx="5544820" cy="2266315"/>
        </a:xfrm>
        <a:prstGeom prst="flowChartAlternateProcess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000" b="1"/>
            <a:t>Conclusion:</a:t>
          </a:r>
          <a:endParaRPr lang="en-IN" altLang="en-US" sz="1100"/>
        </a:p>
        <a:p>
          <a:pPr algn="l"/>
          <a:r>
            <a:rPr lang="en-IN" altLang="en-US" sz="1200" b="1"/>
            <a:t>1. Food:</a:t>
          </a:r>
          <a:r>
            <a:rPr lang="en-IN" altLang="en-US" sz="1100"/>
            <a:t> Saw an 8.19% increase post-COVID, likely due to supply chain issues and higher demand.</a:t>
          </a:r>
          <a:endParaRPr lang="en-IN" altLang="en-US" sz="1100"/>
        </a:p>
        <a:p>
          <a:pPr algn="l"/>
          <a:r>
            <a:rPr lang="en-IN" altLang="en-US" sz="1200" b="1"/>
            <a:t>2. Healthcare:</a:t>
          </a:r>
          <a:r>
            <a:rPr lang="en-IN" altLang="en-US" sz="1100"/>
            <a:t> Increased by 8.17%, reflecting heightened demand for medical services and supplies.</a:t>
          </a:r>
          <a:endParaRPr lang="en-IN" altLang="en-US" sz="1100"/>
        </a:p>
        <a:p>
          <a:pPr algn="l"/>
          <a:r>
            <a:rPr lang="en-IN" altLang="en-US" sz="1200" b="1"/>
            <a:t>3. Essential Services:</a:t>
          </a:r>
          <a:r>
            <a:rPr lang="en-IN" altLang="en-US" sz="1100"/>
            <a:t> Had a smaller rise of 3.02%, suggesting relative stability, possibly due to regulatory control.</a:t>
          </a:r>
          <a:endParaRPr lang="en-IN" altLang="en-US" sz="1100"/>
        </a:p>
        <a:p>
          <a:pPr algn="l"/>
          <a:endParaRPr lang="en-IN" altLang="en-US" sz="1100"/>
        </a:p>
        <a:p>
          <a:pPr algn="l"/>
          <a:r>
            <a:rPr lang="en-IN" altLang="en-US" sz="1200" b="1"/>
            <a:t>Key Observation: </a:t>
          </a:r>
          <a:r>
            <a:rPr lang="en-IN" altLang="en-US" sz="1100"/>
            <a:t>Food and healthcare were most impacted by inflation post-COVID, showing the pandemic’s significant effect on essential needs.</a:t>
          </a:r>
          <a:endParaRPr lang="en-IN" altLang="en-US" sz="1100"/>
        </a:p>
      </xdr:txBody>
    </xdr:sp>
    <xdr:clientData/>
  </xdr:twoCellAnchor>
  <xdr:twoCellAnchor>
    <xdr:from>
      <xdr:col>6</xdr:col>
      <xdr:colOff>104775</xdr:colOff>
      <xdr:row>42</xdr:row>
      <xdr:rowOff>99695</xdr:rowOff>
    </xdr:from>
    <xdr:to>
      <xdr:col>9</xdr:col>
      <xdr:colOff>839470</xdr:colOff>
      <xdr:row>56</xdr:row>
      <xdr:rowOff>66040</xdr:rowOff>
    </xdr:to>
    <xdr:graphicFrame>
      <xdr:nvGraphicFramePr>
        <xdr:cNvPr id="12" name="Chart 11"/>
        <xdr:cNvGraphicFramePr/>
      </xdr:nvGraphicFramePr>
      <xdr:xfrm>
        <a:off x="8502015" y="7780655"/>
        <a:ext cx="5916295" cy="2536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1548130</xdr:colOff>
      <xdr:row>1</xdr:row>
      <xdr:rowOff>8890</xdr:rowOff>
    </xdr:from>
    <xdr:to>
      <xdr:col>10</xdr:col>
      <xdr:colOff>633730</xdr:colOff>
      <xdr:row>6</xdr:row>
      <xdr:rowOff>88900</xdr:rowOff>
    </xdr:to>
    <xdr:sp>
      <xdr:nvSpPr>
        <xdr:cNvPr id="13" name="Rectangles 12"/>
        <xdr:cNvSpPr/>
      </xdr:nvSpPr>
      <xdr:spPr>
        <a:xfrm>
          <a:off x="2348230" y="191770"/>
          <a:ext cx="13472160" cy="994410"/>
        </a:xfrm>
        <a:prstGeom prst="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400" b="1">
              <a:solidFill>
                <a:schemeClr val="bg1"/>
              </a:solidFill>
            </a:rPr>
            <a:t>Investigate how the onset and progression of the COVID-19 pandemic affected inflation rates in India</a:t>
          </a:r>
          <a:endParaRPr lang="en-IN" altLang="en-US" sz="24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125730</xdr:colOff>
      <xdr:row>1</xdr:row>
      <xdr:rowOff>27305</xdr:rowOff>
    </xdr:from>
    <xdr:to>
      <xdr:col>17</xdr:col>
      <xdr:colOff>868680</xdr:colOff>
      <xdr:row>6</xdr:row>
      <xdr:rowOff>165100</xdr:rowOff>
    </xdr:to>
    <xdr:sp>
      <xdr:nvSpPr>
        <xdr:cNvPr id="2" name="Rounded Rectangle 1"/>
        <xdr:cNvSpPr/>
      </xdr:nvSpPr>
      <xdr:spPr>
        <a:xfrm>
          <a:off x="2503170" y="210185"/>
          <a:ext cx="21827490" cy="105219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3000" b="1">
              <a:solidFill>
                <a:schemeClr val="bg1"/>
              </a:solidFill>
            </a:rPr>
            <a:t>Analyzing the Impact of Imported Crude Oil Price Fluctuations on India's Inflation in Fuel and Related Categories (2021-2023)</a:t>
          </a:r>
          <a:endParaRPr lang="en-IN" altLang="en-US" sz="3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480060</xdr:colOff>
      <xdr:row>32</xdr:row>
      <xdr:rowOff>96520</xdr:rowOff>
    </xdr:from>
    <xdr:to>
      <xdr:col>14</xdr:col>
      <xdr:colOff>1058545</xdr:colOff>
      <xdr:row>36</xdr:row>
      <xdr:rowOff>57150</xdr:rowOff>
    </xdr:to>
    <xdr:sp>
      <xdr:nvSpPr>
        <xdr:cNvPr id="3" name="Rounded Rectangle 2"/>
        <xdr:cNvSpPr/>
      </xdr:nvSpPr>
      <xdr:spPr>
        <a:xfrm>
          <a:off x="6728460" y="5948680"/>
          <a:ext cx="13380085" cy="69215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200" b="1">
              <a:solidFill>
                <a:schemeClr val="bg1"/>
              </a:solidFill>
            </a:rPr>
            <a:t>Correlation between Oil Price changes B/W Food, HealthCare and Essential Services  inflation</a:t>
          </a:r>
          <a:endParaRPr lang="en-IN" altLang="en-US" sz="22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1421765</xdr:colOff>
      <xdr:row>46</xdr:row>
      <xdr:rowOff>27940</xdr:rowOff>
    </xdr:from>
    <xdr:to>
      <xdr:col>12</xdr:col>
      <xdr:colOff>554990</xdr:colOff>
      <xdr:row>60</xdr:row>
      <xdr:rowOff>79375</xdr:rowOff>
    </xdr:to>
    <xdr:graphicFrame>
      <xdr:nvGraphicFramePr>
        <xdr:cNvPr id="4" name="Chart 3"/>
        <xdr:cNvGraphicFramePr/>
      </xdr:nvGraphicFramePr>
      <xdr:xfrm>
        <a:off x="8470265" y="8486140"/>
        <a:ext cx="7919085" cy="2611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1137285</xdr:colOff>
      <xdr:row>42</xdr:row>
      <xdr:rowOff>107315</xdr:rowOff>
    </xdr:from>
    <xdr:to>
      <xdr:col>15</xdr:col>
      <xdr:colOff>1296035</xdr:colOff>
      <xdr:row>61</xdr:row>
      <xdr:rowOff>81280</xdr:rowOff>
    </xdr:to>
    <xdr:sp>
      <xdr:nvSpPr>
        <xdr:cNvPr id="5" name="Rounded Rectangle 4"/>
        <xdr:cNvSpPr/>
      </xdr:nvSpPr>
      <xdr:spPr>
        <a:xfrm>
          <a:off x="18579465" y="7818755"/>
          <a:ext cx="3374390" cy="346392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300" b="1"/>
            <a:t>- Essential Services Inflation</a:t>
          </a:r>
          <a:r>
            <a:rPr lang="en-IN" altLang="en-US" sz="1100"/>
            <a:t> </a:t>
          </a:r>
          <a:r>
            <a:rPr lang="en-IN" altLang="en-US" sz="1250"/>
            <a:t>has a strong positive correlation (0.76) with oil price changes, indicating that fluctuations in oil prices significantly impact inflation in this category.</a:t>
          </a:r>
          <a:endParaRPr lang="en-IN" altLang="en-US" sz="1250"/>
        </a:p>
        <a:p>
          <a:pPr algn="l"/>
          <a:r>
            <a:rPr lang="en-IN" altLang="en-US" sz="1300" b="1"/>
            <a:t>- Food and Healthcare Inflation</a:t>
          </a:r>
          <a:r>
            <a:rPr lang="en-IN" altLang="en-US" sz="1100"/>
            <a:t> </a:t>
          </a:r>
          <a:r>
            <a:rPr lang="en-IN" altLang="en-US" sz="1250"/>
            <a:t>have weak negative correlations (-0.07 and -0.19, respectively) with oil price changes, suggesting minimal influence from oil price fluctuations.</a:t>
          </a:r>
          <a:endParaRPr lang="en-IN" altLang="en-US" sz="1250"/>
        </a:p>
        <a:p>
          <a:pPr algn="l"/>
          <a:r>
            <a:rPr lang="en-IN" altLang="en-US" sz="1100"/>
            <a:t>- </a:t>
          </a:r>
          <a:r>
            <a:rPr lang="en-IN" altLang="en-US" sz="1250"/>
            <a:t>Overall, </a:t>
          </a:r>
          <a:r>
            <a:rPr lang="en-IN" altLang="en-US" sz="1250" b="1"/>
            <a:t>Essential Services are most affected by oil price changes</a:t>
          </a:r>
          <a:r>
            <a:rPr lang="en-IN" altLang="en-US" sz="1250"/>
            <a:t>, while food and healthcare remain largely unaffected.</a:t>
          </a:r>
          <a:endParaRPr lang="en-IN" altLang="en-US" sz="1250"/>
        </a:p>
      </xdr:txBody>
    </xdr:sp>
    <xdr:clientData/>
  </xdr:twoCellAnchor>
  <xdr:twoCellAnchor>
    <xdr:from>
      <xdr:col>5</xdr:col>
      <xdr:colOff>227965</xdr:colOff>
      <xdr:row>35</xdr:row>
      <xdr:rowOff>94615</xdr:rowOff>
    </xdr:from>
    <xdr:to>
      <xdr:col>6</xdr:col>
      <xdr:colOff>311785</xdr:colOff>
      <xdr:row>38</xdr:row>
      <xdr:rowOff>67945</xdr:rowOff>
    </xdr:to>
    <xdr:sp>
      <xdr:nvSpPr>
        <xdr:cNvPr id="6" name="Rounded Rectangle 5"/>
        <xdr:cNvSpPr/>
      </xdr:nvSpPr>
      <xdr:spPr>
        <a:xfrm>
          <a:off x="5691505" y="6495415"/>
          <a:ext cx="868680" cy="52197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600" b="1"/>
            <a:t>2021</a:t>
          </a:r>
          <a:endParaRPr lang="en-IN" altLang="en-US" sz="1600" b="1"/>
        </a:p>
        <a:p>
          <a:pPr algn="l"/>
          <a:endParaRPr lang="en-IN" altLang="en-US" sz="1600" b="1"/>
        </a:p>
      </xdr:txBody>
    </xdr:sp>
    <xdr:clientData/>
  </xdr:twoCellAnchor>
  <xdr:twoCellAnchor>
    <xdr:from>
      <xdr:col>5</xdr:col>
      <xdr:colOff>215900</xdr:colOff>
      <xdr:row>46</xdr:row>
      <xdr:rowOff>148590</xdr:rowOff>
    </xdr:from>
    <xdr:to>
      <xdr:col>6</xdr:col>
      <xdr:colOff>289560</xdr:colOff>
      <xdr:row>49</xdr:row>
      <xdr:rowOff>81915</xdr:rowOff>
    </xdr:to>
    <xdr:sp>
      <xdr:nvSpPr>
        <xdr:cNvPr id="7" name="Rounded Rectangle 6"/>
        <xdr:cNvSpPr/>
      </xdr:nvSpPr>
      <xdr:spPr>
        <a:xfrm>
          <a:off x="5679440" y="8606790"/>
          <a:ext cx="858520" cy="48196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600" b="1"/>
            <a:t>2022</a:t>
          </a:r>
          <a:endParaRPr lang="en-IN" altLang="en-US" sz="1600" b="1"/>
        </a:p>
        <a:p>
          <a:pPr algn="l"/>
          <a:endParaRPr lang="en-IN" altLang="en-US" sz="1600" b="1"/>
        </a:p>
      </xdr:txBody>
    </xdr:sp>
    <xdr:clientData/>
  </xdr:twoCellAnchor>
  <xdr:twoCellAnchor>
    <xdr:from>
      <xdr:col>5</xdr:col>
      <xdr:colOff>248920</xdr:colOff>
      <xdr:row>57</xdr:row>
      <xdr:rowOff>2540</xdr:rowOff>
    </xdr:from>
    <xdr:to>
      <xdr:col>6</xdr:col>
      <xdr:colOff>277495</xdr:colOff>
      <xdr:row>59</xdr:row>
      <xdr:rowOff>174625</xdr:rowOff>
    </xdr:to>
    <xdr:sp>
      <xdr:nvSpPr>
        <xdr:cNvPr id="8" name="Rounded Rectangle 7"/>
        <xdr:cNvSpPr/>
      </xdr:nvSpPr>
      <xdr:spPr>
        <a:xfrm>
          <a:off x="5712460" y="10472420"/>
          <a:ext cx="813435" cy="53784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600" b="1"/>
            <a:t>2023</a:t>
          </a:r>
          <a:endParaRPr lang="en-IN" altLang="en-US" sz="1600" b="1"/>
        </a:p>
        <a:p>
          <a:pPr algn="l"/>
          <a:endParaRPr lang="en-IN" altLang="en-US" sz="16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96.5255324074" refreshedBy="meman" recordCount="369">
  <cacheSource type="worksheet">
    <worksheetSource ref="A1:A1" sheet="1. Practice"/>
  </cacheSource>
  <cacheFields count="18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0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  <s v="Marcrh"/>
      </sharedItems>
    </cacheField>
    <cacheField name="Cereals and products" numFmtId="0">
      <sharedItems containsSemiMixedTypes="0" containsString="0" containsNumber="1" minValue="0" maxValue="174.8" count="252">
        <n v="107.5"/>
        <n v="110.5"/>
        <n v="108.4"/>
        <n v="109.2"/>
        <n v="112.9"/>
        <n v="110.4"/>
        <n v="110.2"/>
        <n v="113.9"/>
        <n v="111.4"/>
        <n v="114.6"/>
        <n v="111.6"/>
        <n v="110.9"/>
        <n v="115.4"/>
        <n v="112.3"/>
        <n v="117"/>
        <n v="113.8"/>
        <n v="113.4"/>
        <n v="117.8"/>
        <n v="114.8"/>
        <n v="114.3"/>
        <n v="118.3"/>
        <n v="115.6"/>
        <n v="118.6"/>
        <n v="116.4"/>
        <n v="116.3"/>
        <n v="118.9"/>
        <n v="117.1"/>
        <n v="117.3"/>
        <n v="119.8"/>
        <n v="118.1"/>
        <n v="118.4"/>
        <n v="120.5"/>
        <n v="119.1"/>
        <n v="121.2"/>
        <n v="119.6"/>
        <n v="119.4"/>
        <n v="121.9"/>
        <n v="120.2"/>
        <n v="120.1"/>
        <n v="122.1"/>
        <n v="120.7"/>
        <n v="122.5"/>
        <n v="120.9"/>
        <n v="120.3"/>
        <n v="122.7"/>
        <n v="121.1"/>
        <n v="123.1"/>
        <n v="121.5"/>
        <n v="121.7"/>
        <n v="123.8"/>
        <n v="122.4"/>
        <n v="121.8"/>
        <n v="124.8"/>
        <n v="122.3"/>
        <n v="124.2"/>
        <n v="122.9"/>
        <n v="122.6"/>
        <n v="124.6"/>
        <n v="123.2"/>
        <n v="124.5"/>
        <n v="123.3"/>
        <n v="124"/>
        <n v="123.4"/>
        <n v="124.3"/>
        <n v="123.7"/>
        <n v="123.5"/>
        <n v="123.6"/>
        <n v="124.1"/>
        <n v="123.9"/>
        <n v="124.7"/>
        <n v="125.1"/>
        <n v="125.6"/>
        <n v="125"/>
        <n v="126.1"/>
        <n v="125.4"/>
        <n v="126.3"/>
        <n v="125.7"/>
        <n v="126.8"/>
        <n v="127.1"/>
        <n v="126.4"/>
        <n v="127.3"/>
        <n v="126.5"/>
        <n v="127.4"/>
        <n v="124.9"/>
        <n v="126.6"/>
        <n v="127.6"/>
        <n v="128.6"/>
        <n v="125.9"/>
        <n v="127.7"/>
        <n v="129.3"/>
        <n v="128.5"/>
        <n v="130.1"/>
        <n v="130.8"/>
        <n v="128.1"/>
        <n v="129.9"/>
        <n v="131.3"/>
        <n v="128.7"/>
        <n v="130.5"/>
        <n v="132"/>
        <n v="130.2"/>
        <n v="131.4"/>
        <n v="132.6"/>
        <n v="131.6"/>
        <n v="132.3"/>
        <n v="133.1"/>
        <n v="132.2"/>
        <n v="132.8"/>
        <n v="133.3"/>
        <n v="133.6"/>
        <n v="132.7"/>
        <n v="133.2"/>
        <n v="133"/>
        <n v="132.9"/>
        <n v="133.5"/>
        <n v="134"/>
        <n v="134.8"/>
        <n v="134.3"/>
        <n v="135.2"/>
        <n v="134.7"/>
        <n v="135.9"/>
        <n v="133.9"/>
        <n v="135.3"/>
        <n v="136.3"/>
        <n v="135.7"/>
        <n v="136.4"/>
        <n v="134.4"/>
        <n v="135.8"/>
        <n v="136.6"/>
        <n v="134.6"/>
        <n v="136"/>
        <n v="136.8"/>
        <n v="135"/>
        <n v="136.2"/>
        <n v="137.1"/>
        <n v="137.4"/>
        <n v="137.6"/>
        <n v="136.9"/>
        <n v="138.4"/>
        <n v="135.6"/>
        <n v="137.5"/>
        <n v="139.2"/>
        <n v="136.5"/>
        <n v="138.3"/>
        <n v="139.4"/>
        <n v="137"/>
        <n v="138.6"/>
        <n v="139.3"/>
        <n v="138.1"/>
        <n v="138.5"/>
        <n v="139.7"/>
        <n v="137.8"/>
        <n v="140.4"/>
        <n v="140.7"/>
        <n v="138.7"/>
        <n v="141.4"/>
        <n v="142.1"/>
        <n v="140.1"/>
        <n v="142.7"/>
        <n v="140.9"/>
        <n v="141"/>
        <n v="143.5"/>
        <n v="141.8"/>
        <n v="144.1"/>
        <n v="142.5"/>
        <n v="142.8"/>
        <n v="144.9"/>
        <n v="143.7"/>
        <n v="145.6"/>
        <n v="144.3"/>
        <n v="144.2"/>
        <n v="146.2"/>
        <n v="144.8"/>
        <n v="144.4"/>
        <n v="146.5"/>
        <n v="145.1"/>
        <n v="147.2"/>
        <n v="151.8"/>
        <n v="148.7"/>
        <n v="148.2"/>
        <n v="152.7"/>
        <n v="149.6"/>
        <n v="147.6"/>
        <n v="151.6"/>
        <n v="148.9"/>
        <n v="146.9"/>
        <n v="151.5"/>
        <n v="148.4"/>
        <n v="146"/>
        <n v="150.6"/>
        <n v="147.5"/>
        <n v="145.4"/>
        <n v="149.7"/>
        <n v="146.8"/>
        <n v="144.6"/>
        <n v="149"/>
        <n v="143.4"/>
        <n v="148"/>
        <n v="148.8"/>
        <n v="146.3"/>
        <n v="149.2"/>
        <n v="146.7"/>
        <n v="149.1"/>
        <n v="146.4"/>
        <n v="149.3"/>
        <n v="146.6"/>
        <n v="146.1"/>
        <n v="150.1"/>
        <n v="147.4"/>
        <n v="151"/>
        <n v="148.3"/>
        <n v="152.2"/>
        <n v="149.5"/>
        <n v="152.5"/>
        <n v="150"/>
        <n v="150.2"/>
        <n v="153.7"/>
        <n v="151.3"/>
        <n v="155.4"/>
        <n v="152.9"/>
        <n v="156.7"/>
        <n v="154.1"/>
        <n v="153.8"/>
        <n v="157.5"/>
        <n v="155"/>
        <n v="155.2"/>
        <n v="159.3"/>
        <n v="156.5"/>
        <n v="159.5"/>
        <n v="162.1"/>
        <n v="160.3"/>
        <n v="162.9"/>
        <n v="164.9"/>
        <n v="163.5"/>
        <n v="164.7"/>
        <n v="166.4"/>
        <n v="165.2"/>
        <n v="166.9"/>
        <n v="168.4"/>
        <n v="167.4"/>
        <n v="168.8"/>
        <n v="170.2"/>
        <n v="169.2"/>
        <n v="174"/>
        <n v="173.3"/>
        <n v="173.8"/>
        <n v="174.2"/>
        <n v="174.7"/>
        <n v="174.4"/>
        <n v="174.3"/>
        <n v="174.8"/>
        <n v="173.2"/>
        <n v="173.7"/>
      </sharedItems>
    </cacheField>
    <cacheField name="Meat and fish" numFmtId="0">
      <sharedItems containsSemiMixedTypes="0" containsString="0" containsNumber="1" minValue="0" maxValue="223.4" count="292">
        <n v="106.3"/>
        <n v="109.1"/>
        <n v="107.3"/>
        <n v="108.7"/>
        <n v="112.9"/>
        <n v="110.2"/>
        <n v="108.8"/>
        <n v="111.4"/>
        <n v="109.7"/>
        <n v="109.5"/>
        <n v="113.4"/>
        <n v="110.9"/>
        <n v="109.8"/>
        <n v="114.2"/>
        <n v="111.3"/>
        <n v="112.1"/>
        <n v="120.1"/>
        <n v="114.9"/>
        <n v="119.2"/>
        <n v="116.4"/>
        <n v="115.4"/>
        <n v="120.4"/>
        <n v="117.2"/>
        <n v="115.7"/>
        <n v="119.1"/>
        <n v="116.9"/>
        <n v="118.1"/>
        <n v="116.3"/>
        <n v="115.9"/>
        <n v="116.7"/>
        <n v="117.1"/>
        <n v="122"/>
        <n v="118.8"/>
        <n v="117.7"/>
        <n v="121.4"/>
        <n v="119.3"/>
        <n v="118.9"/>
        <n v="121.7"/>
        <n v="119.9"/>
        <n v="120.2"/>
        <n v="124.1"/>
        <n v="121.6"/>
        <n v="125.9"/>
        <n v="123.1"/>
        <n v="122.5"/>
        <n v="126.4"/>
        <n v="123.9"/>
        <n v="122.8"/>
        <n v="127.3"/>
        <n v="124.4"/>
        <n v="122.4"/>
        <n v="125.4"/>
        <n v="123.5"/>
        <n v="126.1"/>
        <n v="123.8"/>
        <n v="122.6"/>
        <n v="125.6"/>
        <n v="123.7"/>
        <n v="124.7"/>
        <n v="123.2"/>
        <n v="125.5"/>
        <n v="126.5"/>
        <n v="125.1"/>
        <n v="126.7"/>
        <n v="128.2"/>
        <n v="127.1"/>
        <n v="129.7"/>
        <n v="128"/>
        <n v="130.4"/>
        <n v="134.4"/>
        <n v="131.8"/>
        <n v="131.5"/>
        <n v="134.3"/>
        <n v="132.5"/>
        <n v="131.3"/>
        <n v="131.7"/>
        <n v="131.4"/>
        <n v="131.1"/>
        <n v="129"/>
        <n v="128.6"/>
        <n v="129.8"/>
        <n v="130.6"/>
        <n v="130.3"/>
        <n v="133.2"/>
        <n v="135.9"/>
        <n v="134.1"/>
        <n v="133.7"/>
        <n v="135.1"/>
        <n v="134.2"/>
        <n v="136.3"/>
        <n v="135.4"/>
        <n v="139.3"/>
        <n v="136.8"/>
        <n v="137.5"/>
        <n v="142.1"/>
        <n v="139.1"/>
        <n v="138.6"/>
        <n v="143.9"/>
        <n v="140.5"/>
        <n v="139.5"/>
        <n v="144.2"/>
        <n v="141.2"/>
        <n v="138.8"/>
        <n v="140.3"/>
        <n v="138.2"/>
        <n v="137.7"/>
        <n v="138"/>
        <n v="137.6"/>
        <n v="138.4"/>
        <n v="137.9"/>
        <n v="137.4"/>
        <n v="138.5"/>
        <n v="137.8"/>
        <n v="137.3"/>
        <n v="138.9"/>
        <n v="138.3"/>
        <n v="139.8"/>
        <n v="139.4"/>
        <n v="139"/>
        <n v="138.7"/>
        <n v="140.6"/>
        <n v="144.1"/>
        <n v="141.6"/>
        <n v="143.7"/>
        <n v="148.7"/>
        <n v="145.5"/>
        <n v="148.4"/>
        <n v="145.7"/>
        <n v="143.1"/>
        <n v="143.4"/>
        <n v="142"/>
        <n v="143"/>
        <n v="142.4"/>
        <n v="141.9"/>
        <n v="142.8"/>
        <n v="142.2"/>
        <n v="142.5"/>
        <n v="142.6"/>
        <n v="143.3"/>
        <n v="144.4"/>
        <n v="143.5"/>
        <n v="143.8"/>
        <n v="143.6"/>
        <n v="144.5"/>
        <n v="144.3"/>
        <n v="148.2"/>
        <n v="146.6"/>
        <n v="148.1"/>
        <n v="149.7"/>
        <n v="149.3"/>
        <n v="148.6"/>
        <n v="149.1"/>
        <n v="148.8"/>
        <n v="146.4"/>
        <n v="148"/>
        <n v="147.2"/>
        <n v="145.8"/>
        <n v="147.6"/>
        <n v="144.9"/>
        <n v="149.5"/>
        <n v="150.8"/>
        <n v="146.3"/>
        <n v="149.2"/>
        <n v="151.9"/>
        <n v="147.8"/>
        <n v="150.5"/>
        <n v="152.5"/>
        <n v="149.4"/>
        <n v="151.4"/>
        <n v="153"/>
        <n v="150.1"/>
        <n v="152"/>
        <n v="154.1"/>
        <n v="151.1"/>
        <n v="159.5"/>
        <n v="156.7"/>
        <n v="158.5"/>
        <n v="163.5"/>
        <n v="159.6"/>
        <n v="162.1"/>
        <n v="164"/>
        <n v="160.2"/>
        <n v="162.7"/>
        <n v="161.9"/>
        <n v="158.3"/>
        <n v="160.6"/>
        <n v="158.7"/>
        <n v="160.8"/>
        <n v="161.6"/>
        <n v="159.8"/>
        <n v="161"/>
        <n v="163.7"/>
        <n v="162.4"/>
        <n v="163.2"/>
        <n v="165.3"/>
        <n v="164.5"/>
        <n v="165"/>
        <n v="167.3"/>
        <n v="167.6"/>
        <n v="167.4"/>
        <n v="167.5"/>
        <n v="166.8"/>
        <n v="167"/>
        <n v="167.1"/>
        <n v="167.2"/>
        <n v="190.3"/>
        <n v="197"/>
        <n v="192.7"/>
        <n v="187.2"/>
        <n v="197.8"/>
        <n v="190.9"/>
        <n v="183.9"/>
        <n v="193.1"/>
        <n v="187.1"/>
        <n v="186.3"/>
        <n v="193.7"/>
        <n v="188.9"/>
        <n v="188.6"/>
        <n v="195.5"/>
        <n v="191"/>
        <n v="188.5"/>
        <n v="195.7"/>
        <n v="187.5"/>
        <n v="194.8"/>
        <n v="190.1"/>
        <n v="184"/>
        <n v="191.2"/>
        <n v="186.5"/>
        <n v="189.4"/>
        <n v="197.5"/>
        <n v="192.2"/>
        <n v="202.5"/>
        <n v="198"/>
        <n v="198.5"/>
        <n v="204.3"/>
        <n v="200.5"/>
        <n v="200.1"/>
        <n v="205.5"/>
        <n v="202"/>
        <n v="204.5"/>
        <n v="210.9"/>
        <n v="206.8"/>
        <n v="202.3"/>
        <n v="207.4"/>
        <n v="204"/>
        <n v="202.1"/>
        <n v="208.4"/>
        <n v="204.6"/>
        <n v="199.8"/>
        <n v="204.9"/>
        <n v="201.6"/>
        <n v="202.2"/>
        <n v="198.8"/>
        <n v="196.9"/>
        <n v="198.7"/>
        <n v="198.1"/>
        <n v="205.2"/>
        <n v="200.6"/>
        <n v="208"/>
        <n v="215.8"/>
        <n v="210.7"/>
        <n v="209.7"/>
        <n v="211.8"/>
        <n v="214.7"/>
        <n v="221.2"/>
        <n v="217"/>
        <n v="217.2"/>
        <n v="223.4"/>
        <n v="219.4"/>
        <n v="210.8"/>
        <n v="217.1"/>
        <n v="213"/>
        <n v="204.1"/>
        <n v="206.5"/>
        <n v="206.7"/>
        <n v="213.7"/>
        <n v="209.2"/>
        <n v="208.8"/>
        <n v="214.9"/>
        <n v="207.2"/>
        <n v="213.4"/>
        <n v="209.4"/>
        <n v="206.9"/>
        <n v="212.9"/>
        <n v="209"/>
        <n v="208.3"/>
        <n v="215.2"/>
        <n v="212.2"/>
        <n v="207.7"/>
        <n v="209.3"/>
        <n v="211.5"/>
        <n v="214.3"/>
      </sharedItems>
    </cacheField>
    <cacheField name="Egg" numFmtId="0">
      <sharedItems containsSemiMixedTypes="0" containsString="0" containsNumber="1" minValue="0" maxValue="197" count="282">
        <n v="108.1"/>
        <n v="113"/>
        <n v="110"/>
        <n v="110.2"/>
        <n v="116.9"/>
        <n v="112.8"/>
        <n v="109.9"/>
        <n v="113.2"/>
        <n v="111.2"/>
        <n v="106.9"/>
        <n v="106"/>
        <n v="106.6"/>
        <n v="105.9"/>
        <n v="102.7"/>
        <n v="104.7"/>
        <n v="112.5"/>
        <n v="109.8"/>
        <n v="110.5"/>
        <n v="114"/>
        <n v="111.9"/>
        <n v="111.1"/>
        <n v="112.7"/>
        <n v="111.7"/>
        <n v="112.3"/>
        <n v="112.6"/>
        <n v="114.5"/>
        <n v="113.3"/>
        <n v="116.2"/>
        <n v="122.6"/>
        <n v="118.7"/>
        <n v="120.4"/>
        <n v="128.5"/>
        <n v="123.5"/>
        <n v="120.5"/>
        <n v="129.9"/>
        <n v="124.1"/>
        <n v="121.2"/>
        <n v="124.5"/>
        <n v="122.5"/>
        <n v="120.7"/>
        <n v="121.5"/>
        <n v="121"/>
        <n v="118.1"/>
        <n v="114.2"/>
        <n v="115.9"/>
        <n v="116.1"/>
        <n v="115.4"/>
        <n v="115.8"/>
        <n v="117.7"/>
        <n v="118"/>
        <n v="117.8"/>
        <n v="116.5"/>
        <n v="117.3"/>
        <n v="116.4"/>
        <n v="118.3"/>
        <n v="119.9"/>
        <n v="122.7"/>
        <n v="121.8"/>
        <n v="126.3"/>
        <n v="122.1"/>
        <n v="126.6"/>
        <n v="123.8"/>
        <n v="119.5"/>
        <n v="121.1"/>
        <n v="118.9"/>
        <n v="113.5"/>
        <n v="116.8"/>
        <n v="117.2"/>
        <n v="114.4"/>
        <n v="111.3"/>
        <n v="115"/>
        <n v="120.9"/>
        <n v="121.6"/>
        <n v="122"/>
        <n v="121.3"/>
        <n v="120.1"/>
        <n v="115.6"/>
        <n v="120.8"/>
        <n v="121.7"/>
        <n v="123.3"/>
        <n v="127.1"/>
        <n v="124.8"/>
        <n v="126.5"/>
        <n v="132"/>
        <n v="128.6"/>
        <n v="127.7"/>
        <n v="130.3"/>
        <n v="128.7"/>
        <n v="125.1"/>
        <n v="123.7"/>
        <n v="124.6"/>
        <n v="123.4"/>
        <n v="124.4"/>
        <n v="127"/>
        <n v="125.4"/>
        <n v="130.9"/>
        <n v="128.3"/>
        <n v="129.6"/>
        <n v="136.6"/>
        <n v="132.3"/>
        <n v="133.7"/>
        <n v="131.6"/>
        <n v="130.5"/>
        <n v="130.6"/>
        <n v="130.1"/>
        <n v="130.2"/>
        <n v="134.1"/>
        <n v="134.9"/>
        <n v="132.9"/>
        <n v="131.9"/>
        <n v="132.6"/>
        <n v="132.2"/>
        <n v="129.3"/>
        <n v="128.8"/>
        <n v="128.4"/>
        <n v="126.1"/>
        <n v="126.8"/>
        <n v="125.6"/>
        <n v="128"/>
        <n v="128.1"/>
        <n v="129.8"/>
        <n v="129.4"/>
        <n v="130"/>
        <n v="129.7"/>
        <n v="131"/>
        <n v="131.4"/>
        <n v="131.2"/>
        <n v="140.5"/>
        <n v="146.7"/>
        <n v="142.9"/>
        <n v="144.8"/>
        <n v="145.9"/>
        <n v="145.2"/>
        <n v="143.8"/>
        <n v="143.6"/>
        <n v="143.7"/>
        <n v="140.6"/>
        <n v="139.9"/>
        <n v="140.3"/>
        <n v="140"/>
        <n v="135.5"/>
        <n v="138.3"/>
        <n v="135.9"/>
        <n v="130.8"/>
        <n v="133.9"/>
        <n v="133.6"/>
        <n v="136.7"/>
        <n v="135.6"/>
        <n v="139.3"/>
        <n v="139.1"/>
        <n v="139.2"/>
        <n v="138.1"/>
        <n v="132.8"/>
        <n v="135.1"/>
        <n v="134.6"/>
        <n v="133.5"/>
        <n v="137.3"/>
        <n v="137.8"/>
        <n v="137.1"/>
        <n v="137.4"/>
        <n v="141.1"/>
        <n v="138.8"/>
        <n v="138.2"/>
        <n v="143.5"/>
        <n v="140.2"/>
        <n v="145.3"/>
        <n v="141.5"/>
        <n v="138.7"/>
        <n v="134.5"/>
        <n v="136"/>
        <n v="136.2"/>
        <n v="140.4"/>
        <n v="138.4"/>
        <n v="142.5"/>
        <n v="140.8"/>
        <n v="138.5"/>
        <n v="141.6"/>
        <n v="139.6"/>
        <n v="141.2"/>
        <n v="144.7"/>
        <n v="142.6"/>
        <n v="148.4"/>
        <n v="145.6"/>
        <n v="149.5"/>
        <n v="153.7"/>
        <n v="151.1"/>
        <n v="153.5"/>
        <n v="157"/>
        <n v="154.9"/>
        <n v="150.9"/>
        <n v="153.1"/>
        <n v="151.8"/>
        <n v="147.6"/>
        <n v="148.9"/>
        <n v="148.1"/>
        <n v="146.9"/>
        <n v="151.9"/>
        <n v="148.8"/>
        <n v="149.4"/>
        <n v="154.6"/>
        <n v="151.4"/>
        <n v="154.5"/>
        <n v="150.8"/>
        <n v="157.3"/>
        <n v="152.5"/>
        <n v="159.2"/>
        <n v="164.8"/>
        <n v="161.4"/>
        <n v="171.6"/>
        <n v="176.9"/>
        <n v="173.6"/>
        <n v="173.4"/>
        <n v="178.3"/>
        <n v="175.3"/>
        <n v="178.4"/>
        <n v="168"/>
        <n v="169.9"/>
        <n v="168.7"/>
        <n v="163.2"/>
        <n v="164.7"/>
        <n v="163.8"/>
        <n v="163.4"/>
        <n v="166.4"/>
        <n v="164.6"/>
        <n v="168.6"/>
        <n v="173"/>
        <n v="170.3"/>
        <n v="179.3"/>
        <n v="182.8"/>
        <n v="180.7"/>
        <n v="180.4"/>
        <n v="185"/>
        <n v="182.2"/>
        <n v="176.5"/>
        <n v="174.1"/>
        <n v="172.8"/>
        <n v="172"/>
        <n v="170.1"/>
        <n v="171.2"/>
        <n v="171.5"/>
        <n v="175.4"/>
        <n v="180"/>
        <n v="177.9"/>
        <n v="178"/>
        <n v="180.1"/>
        <n v="178.8"/>
        <n v="175.5"/>
        <n v="176.4"/>
        <n v="175.8"/>
        <n v="167.9"/>
        <n v="167.7"/>
        <n v="167.8"/>
        <n v="164.5"/>
        <n v="164.1"/>
        <n v="162.4"/>
        <n v="169.6"/>
        <n v="170.8"/>
        <n v="174.3"/>
        <n v="176.6"/>
        <n v="175.2"/>
        <n v="168.3"/>
        <n v="170.6"/>
        <n v="169.2"/>
        <n v="169"/>
        <n v="170.9"/>
        <n v="169.7"/>
        <n v="171.9"/>
        <n v="180.2"/>
        <n v="183.2"/>
        <n v="181.4"/>
        <n v="189.1"/>
        <n v="191.9"/>
        <n v="190.2"/>
        <n v="192.9"/>
        <n v="197"/>
        <n v="194.5"/>
        <n v="173.9"/>
        <n v="177.2"/>
        <n v="172.4"/>
        <n v="171"/>
        <n v="176.7"/>
        <n v="173.2"/>
      </sharedItems>
    </cacheField>
    <cacheField name="Milk and products" numFmtId="0">
      <sharedItems containsSemiMixedTypes="0" containsString="0" containsNumber="1" minValue="0" maxValue="179.6" count="268">
        <n v="104.9"/>
        <n v="103.6"/>
        <n v="104.4"/>
        <n v="105.4"/>
        <n v="104"/>
        <n v="105.6"/>
        <n v="104.3"/>
        <n v="105.1"/>
        <n v="106.3"/>
        <n v="104.7"/>
        <n v="105.7"/>
        <n v="107.5"/>
        <n v="105.5"/>
        <n v="106.8"/>
        <n v="108.3"/>
        <n v="107.3"/>
        <n v="107.9"/>
        <n v="109.3"/>
        <n v="108.9"/>
        <n v="110"/>
        <n v="109.6"/>
        <n v="111"/>
        <n v="110.5"/>
        <n v="111.7"/>
        <n v="110.4"/>
        <n v="111.2"/>
        <n v="112.8"/>
        <n v="112"/>
        <n v="112.5"/>
        <n v="113.8"/>
        <n v="113.4"/>
        <n v="114.4"/>
        <n v="113.6"/>
        <n v="114.1"/>
        <n v="115"/>
        <n v="115.2"/>
        <n v="115.1"/>
        <n v="116.1"/>
        <n v="116.2"/>
        <n v="117"/>
        <n v="118"/>
        <n v="119.1"/>
        <n v="118.4"/>
        <n v="119.3"/>
        <n v="120.4"/>
        <n v="119.7"/>
        <n v="120.6"/>
        <n v="121.6"/>
        <n v="121"/>
        <n v="121.9"/>
        <n v="122.2"/>
        <n v="122"/>
        <n v="122.7"/>
        <n v="123.2"/>
        <n v="123.1"/>
        <n v="124"/>
        <n v="124.6"/>
        <n v="124.2"/>
        <n v="124.9"/>
        <n v="124.5"/>
        <n v="125.2"/>
        <n v="125"/>
        <n v="125.8"/>
        <n v="125.6"/>
        <n v="125.7"/>
        <n v="126"/>
        <n v="125.9"/>
        <n v="126.8"/>
        <n v="126.3"/>
        <n v="126.6"/>
        <n v="127.7"/>
        <n v="127.3"/>
        <n v="128.7"/>
        <n v="128.2"/>
        <n v="128.3"/>
        <n v="128.8"/>
        <n v="128"/>
        <n v="128.5"/>
        <n v="129.2"/>
        <n v="128.9"/>
        <n v="129.4"/>
        <n v="129.1"/>
        <n v="129.5"/>
        <n v="128.6"/>
        <n v="129.8"/>
        <n v="130.3"/>
        <n v="129.9"/>
        <n v="130.7"/>
        <n v="129.6"/>
        <n v="130.5"/>
        <n v="129.7"/>
        <n v="130.2"/>
        <n v="131.3"/>
        <n v="130.9"/>
        <n v="132.4"/>
        <n v="130.4"/>
        <n v="131.7"/>
        <n v="133.6"/>
        <n v="131"/>
        <n v="132.6"/>
        <n v="134.5"/>
        <n v="131.8"/>
        <n v="133.5"/>
        <n v="135.3"/>
        <n v="132.2"/>
        <n v="134.1"/>
        <n v="135.5"/>
        <n v="134.4"/>
        <n v="136"/>
        <n v="132.7"/>
        <n v="134.8"/>
        <n v="136.2"/>
        <n v="132.9"/>
        <n v="135"/>
        <n v="136.3"/>
        <n v="133.1"/>
        <n v="135.1"/>
        <n v="136.7"/>
        <n v="135.4"/>
        <n v="137.2"/>
        <n v="135.8"/>
        <n v="134.9"/>
        <n v="137.7"/>
        <n v="138.2"/>
        <n v="136.8"/>
        <n v="138.6"/>
        <n v="137.3"/>
        <n v="138.1"/>
        <n v="139"/>
        <n v="138.5"/>
        <n v="139.4"/>
        <n v="138.3"/>
        <n v="140.2"/>
        <n v="138.7"/>
        <n v="139.6"/>
        <n v="141.5"/>
        <n v="139.1"/>
        <n v="140.6"/>
        <n v="139.5"/>
        <n v="140.8"/>
        <n v="141.9"/>
        <n v="141"/>
        <n v="142"/>
        <n v="141.1"/>
        <n v="139.9"/>
        <n v="140.9"/>
        <n v="141.2"/>
        <n v="142.4"/>
        <n v="140.3"/>
        <n v="141.6"/>
        <n v="142.9"/>
        <n v="140.7"/>
        <n v="142.1"/>
        <n v="143.2"/>
        <n v="142.3"/>
        <n v="143.4"/>
        <n v="142.5"/>
        <n v="143.5"/>
        <n v="142.6"/>
        <n v="143.7"/>
        <n v="141.8"/>
        <n v="141.7"/>
        <n v="142.2"/>
        <n v="143.3"/>
        <n v="143.9"/>
        <n v="144.1"/>
        <n v="144"/>
        <n v="144.6"/>
        <n v="144.9"/>
        <n v="144.7"/>
        <n v="145.7"/>
        <n v="145.4"/>
        <n v="146.5"/>
        <n v="145.6"/>
        <n v="146.2"/>
        <n v="147.1"/>
        <n v="145.9"/>
        <n v="146.7"/>
        <n v="148.7"/>
        <n v="147.5"/>
        <n v="148.3"/>
        <n v="150.5"/>
        <n v="149.3"/>
        <n v="150.1"/>
        <n v="150.9"/>
        <n v="150.7"/>
        <n v="150.8"/>
        <n v="151.7"/>
        <n v="151.1"/>
        <n v="151.5"/>
        <n v="155.6"/>
        <n v="155.5"/>
        <n v="153.3"/>
        <n v="153.4"/>
        <n v="153.9"/>
        <n v="153.6"/>
        <n v="153.7"/>
        <n v="153.8"/>
        <n v="154"/>
        <n v="154.2"/>
        <n v="154.1"/>
        <n v="154.4"/>
        <n v="155.1"/>
        <n v="154.7"/>
        <n v="154.5"/>
        <n v="154.9"/>
        <n v="155"/>
        <n v="156"/>
        <n v="155.4"/>
        <n v="155.8"/>
        <n v="156.5"/>
        <n v="156.1"/>
        <n v="156.2"/>
        <n v="157.1"/>
        <n v="158.2"/>
        <n v="157.5"/>
        <n v="159.2"/>
        <n v="158.4"/>
        <n v="158"/>
        <n v="159.1"/>
        <n v="158.7"/>
        <n v="159.6"/>
        <n v="159.3"/>
        <n v="159.8"/>
        <n v="160"/>
        <n v="159.9"/>
        <n v="160.5"/>
        <n v="160.4"/>
        <n v="160.7"/>
        <n v="160.6"/>
        <n v="162"/>
        <n v="162.6"/>
        <n v="162.2"/>
        <n v="163.8"/>
        <n v="164.2"/>
        <n v="163.9"/>
        <n v="164.6"/>
        <n v="165.4"/>
        <n v="164.9"/>
        <n v="166.4"/>
        <n v="165.8"/>
        <n v="166.3"/>
        <n v="167.1"/>
        <n v="166.6"/>
        <n v="167.9"/>
        <n v="168.4"/>
        <n v="168.1"/>
        <n v="169.5"/>
        <n v="170.1"/>
        <n v="169.7"/>
        <n v="170.9"/>
        <n v="171"/>
        <n v="172.3"/>
        <n v="173.4"/>
        <n v="173.9"/>
        <n v="173.6"/>
        <n v="174.3"/>
        <n v="175.2"/>
        <n v="174.6"/>
        <n v="177"/>
        <n v="177.9"/>
        <n v="177.3"/>
        <n v="178.2"/>
        <n v="178.8"/>
        <n v="178.4"/>
        <n v="179.6"/>
        <n v="179.4"/>
        <n v="179.5"/>
      </sharedItems>
    </cacheField>
    <cacheField name="Oils and fats" numFmtId="0">
      <sharedItems containsSemiMixedTypes="0" containsString="0" containsNumber="1" minValue="0" maxValue="209.9" count="256">
        <n v="106.1"/>
        <n v="103.4"/>
        <n v="105.1"/>
        <n v="106.7"/>
        <n v="103.5"/>
        <n v="105.5"/>
        <n v="106.2"/>
        <n v="102.7"/>
        <n v="104.9"/>
        <n v="105.7"/>
        <n v="102.1"/>
        <n v="104.4"/>
        <n v="105.3"/>
        <n v="101.5"/>
        <n v="103.9"/>
        <n v="105.9"/>
        <n v="101.3"/>
        <n v="104.2"/>
        <n v="101.1"/>
        <n v="104.3"/>
        <n v="106.4"/>
        <n v="104.5"/>
        <n v="107.4"/>
        <n v="101.7"/>
        <n v="107.7"/>
        <n v="102.3"/>
        <n v="108.9"/>
        <n v="103.2"/>
        <n v="106.8"/>
        <n v="109.5"/>
        <n v="107.3"/>
        <n v="109"/>
        <n v="102.9"/>
        <n v="102.5"/>
        <n v="106.6"/>
        <n v="109.3"/>
        <n v="102.8"/>
        <n v="106.9"/>
        <n v="109.7"/>
        <n v="103.1"/>
        <n v="110.1"/>
        <n v="110.3"/>
        <n v="107.8"/>
        <n v="110.4"/>
        <n v="107.9"/>
        <n v="110.6"/>
        <n v="103.6"/>
        <n v="108"/>
        <n v="110.5"/>
        <n v="110.2"/>
        <n v="103"/>
        <n v="107.6"/>
        <n v="111"/>
        <n v="108.5"/>
        <n v="111.5"/>
        <n v="109.1"/>
        <n v="111.8"/>
        <n v="104.8"/>
        <n v="109.2"/>
        <n v="111.9"/>
        <n v="112.5"/>
        <n v="105.2"/>
        <n v="109.8"/>
        <n v="114.1"/>
        <n v="106"/>
        <n v="111.1"/>
        <n v="113.5"/>
        <n v="106.3"/>
        <n v="110.9"/>
        <n v="114"/>
        <n v="111.4"/>
        <n v="114.7"/>
        <n v="107"/>
        <n v="115.8"/>
        <n v="113.3"/>
        <n v="117.8"/>
        <n v="110"/>
        <n v="114.9"/>
        <n v="118.3"/>
        <n v="115.3"/>
        <n v="118.9"/>
        <n v="115.5"/>
        <n v="118.5"/>
        <n v="108.4"/>
        <n v="114.8"/>
        <n v="114.5"/>
        <n v="118.2"/>
        <n v="109.6"/>
        <n v="115"/>
        <n v="118.6"/>
        <n v="119.5"/>
        <n v="116.4"/>
        <n v="119.9"/>
        <n v="116.9"/>
        <n v="120.2"/>
        <n v="117.2"/>
        <n v="120.8"/>
        <n v="121.1"/>
        <n v="112.6"/>
        <n v="118"/>
        <n v="121.6"/>
        <n v="122"/>
        <n v="119.1"/>
        <n v="122.1"/>
        <n v="114.3"/>
        <n v="119.2"/>
        <n v="118.8"/>
        <n v="121.3"/>
        <n v="118.4"/>
        <n v="113.4"/>
        <n v="118.1"/>
        <n v="120.9"/>
        <n v="120.5"/>
        <n v="120.7"/>
        <n v="121.4"/>
        <n v="119"/>
        <n v="115.2"/>
        <n v="123.1"/>
        <n v="115.9"/>
        <n v="123.2"/>
        <n v="122.9"/>
        <n v="116.2"/>
        <n v="120.4"/>
        <n v="116.5"/>
        <n v="123.5"/>
        <n v="116.6"/>
        <n v="121"/>
        <n v="123.6"/>
        <n v="124"/>
        <n v="124.1"/>
        <n v="116.7"/>
        <n v="125"/>
        <n v="117.4"/>
        <n v="122.2"/>
        <n v="124.6"/>
        <n v="122.8"/>
        <n v="124.2"/>
        <n v="123.9"/>
        <n v="121.8"/>
        <n v="124.3"/>
        <n v="124.4"/>
        <n v="119.3"/>
        <n v="122.5"/>
        <n v="124.7"/>
        <n v="125.1"/>
        <n v="125.6"/>
        <n v="126"/>
        <n v="121.5"/>
        <n v="127.5"/>
        <n v="122.7"/>
        <n v="125.7"/>
        <n v="132"/>
        <n v="126.3"/>
        <n v="129.9"/>
        <n v="133.7"/>
        <n v="127.4"/>
        <n v="131.4"/>
        <n v="133.3"/>
        <n v="131.2"/>
        <n v="137.1"/>
        <n v="131.6"/>
        <n v="135.1"/>
        <n v="138.2"/>
        <n v="132.9"/>
        <n v="136.3"/>
        <n v="139.8"/>
        <n v="133.4"/>
        <n v="137.4"/>
        <n v="140.4"/>
        <n v="134.4"/>
        <n v="142.6"/>
        <n v="135.7"/>
        <n v="140.1"/>
        <n v="145.4"/>
        <n v="138"/>
        <n v="142.7"/>
        <n v="150"/>
        <n v="140.7"/>
        <n v="146.6"/>
        <n v="154.8"/>
        <n v="144.1"/>
        <n v="150.9"/>
        <n v="163"/>
        <n v="151.4"/>
        <n v="158.7"/>
        <n v="168.2"/>
        <n v="156.4"/>
        <n v="163.9"/>
        <n v="175.2"/>
        <n v="161.4"/>
        <n v="170.1"/>
        <n v="184.4"/>
        <n v="168.8"/>
        <n v="178.7"/>
        <n v="190.4"/>
        <n v="172.2"/>
        <n v="183.7"/>
        <n v="188.7"/>
        <n v="170.6"/>
        <n v="182.1"/>
        <n v="190.9"/>
        <n v="175"/>
        <n v="188"/>
        <n v="195.5"/>
        <n v="198.8"/>
        <n v="176.6"/>
        <n v="190.6"/>
        <n v="198.4"/>
        <n v="175.8"/>
        <n v="190.1"/>
        <n v="195.8"/>
        <n v="173.5"/>
        <n v="187.6"/>
        <n v="192.6"/>
        <n v="171"/>
        <n v="184.7"/>
        <n v="171.5"/>
        <n v="184.9"/>
        <n v="203.1"/>
        <n v="180"/>
        <n v="194.6"/>
        <n v="207.4"/>
        <n v="186"/>
        <n v="199.5"/>
        <n v="209.9"/>
        <n v="189.5"/>
        <n v="202.4"/>
        <n v="208.1"/>
        <n v="188.6"/>
        <n v="200.9"/>
        <n v="202.2"/>
        <n v="184.8"/>
        <n v="198.1"/>
        <n v="182.5"/>
        <n v="192.4"/>
        <n v="194.1"/>
        <n v="179.3"/>
        <n v="191.6"/>
        <n v="177.7"/>
        <n v="186.5"/>
        <n v="194"/>
        <n v="188.9"/>
        <n v="193.9"/>
        <n v="179.1"/>
        <n v="188.5"/>
        <n v="178"/>
        <n v="187.2"/>
        <n v="183.4"/>
        <n v="183.3"/>
        <n v="179.2"/>
        <n v="178.5"/>
        <n v="168.7"/>
        <n v="174.9"/>
        <n v="173.3"/>
        <n v="164.4"/>
        <n v="170"/>
      </sharedItems>
    </cacheField>
    <cacheField name="Fruits" numFmtId="0">
      <sharedItems containsSemiMixedTypes="0" containsString="0" containsNumber="1" minValue="0" maxValue="179.5" count="280">
        <n v="103.9"/>
        <n v="102.3"/>
        <n v="103.2"/>
        <n v="104"/>
        <n v="103.1"/>
        <n v="103.6"/>
        <n v="105.7"/>
        <n v="104.9"/>
        <n v="105.3"/>
        <n v="108.3"/>
        <n v="109.5"/>
        <n v="108.9"/>
        <n v="108.1"/>
        <n v="110.6"/>
        <n v="109.3"/>
        <n v="109.2"/>
        <n v="112.4"/>
        <n v="110.7"/>
        <n v="110.3"/>
        <n v="113.2"/>
        <n v="111.7"/>
        <n v="110.8"/>
        <n v="108.7"/>
        <n v="109.8"/>
        <n v="110.9"/>
        <n v="107.3"/>
        <n v="106.2"/>
        <n v="109.9"/>
        <n v="116.6"/>
        <n v="110"/>
        <n v="113.5"/>
        <n v="115.5"/>
        <n v="113.3"/>
        <n v="112.1"/>
        <n v="113.9"/>
        <n v="114.1"/>
        <n v="115.4"/>
        <n v="119.6"/>
        <n v="117.7"/>
        <n v="118.7"/>
        <n v="125.5"/>
        <n v="126.7"/>
        <n v="126.1"/>
        <n v="126.3"/>
        <n v="129.2"/>
        <n v="127.7"/>
        <n v="125.8"/>
        <n v="131.2"/>
        <n v="128.3"/>
        <n v="129.1"/>
        <n v="133.7"/>
        <n v="129.7"/>
        <n v="132.7"/>
        <n v="131.1"/>
        <n v="129.8"/>
        <n v="124.5"/>
        <n v="127.3"/>
        <n v="128.9"/>
        <n v="123.5"/>
        <n v="126.4"/>
        <n v="128.8"/>
        <n v="122.2"/>
        <n v="125.7"/>
        <n v="128.6"/>
        <n v="122.3"/>
        <n v="130.4"/>
        <n v="121.3"/>
        <n v="126.2"/>
        <n v="129.4"/>
        <n v="121.6"/>
        <n v="130.9"/>
        <n v="123.8"/>
        <n v="127.6"/>
        <n v="134.2"/>
        <n v="130.6"/>
        <n v="132.5"/>
        <n v="134.1"/>
        <n v="130.8"/>
        <n v="132.6"/>
        <n v="133.2"/>
        <n v="132.3"/>
        <n v="132.8"/>
        <n v="133.3"/>
        <n v="133.1"/>
        <n v="130.1"/>
        <n v="124"/>
        <n v="128.4"/>
        <n v="124.1"/>
        <n v="129"/>
        <n v="132.1"/>
        <n v="123.7"/>
        <n v="128.2"/>
        <n v="131.6"/>
        <n v="120.8"/>
        <n v="126.6"/>
        <n v="119"/>
        <n v="118.6"/>
        <n v="124.9"/>
        <n v="131.7"/>
        <n v="119.9"/>
        <n v="138.1"/>
        <n v="134.8"/>
        <n v="133.5"/>
        <n v="136"/>
        <n v="137.4"/>
        <n v="135.5"/>
        <n v="136.5"/>
        <n v="138.5"/>
        <n v="137"/>
        <n v="137.8"/>
        <n v="140.2"/>
        <n v="135.8"/>
        <n v="139.2"/>
        <n v="136.1"/>
        <n v="138.4"/>
        <n v="134.7"/>
        <n v="136.9"/>
        <n v="135.6"/>
        <n v="129.3"/>
        <n v="129.6"/>
        <n v="133"/>
        <n v="138.7"/>
        <n v="131.4"/>
        <n v="135.3"/>
        <n v="139.7"/>
        <n v="136.8"/>
        <n v="138.3"/>
        <n v="141.8"/>
        <n v="137.7"/>
        <n v="139.9"/>
        <n v="135.2"/>
        <n v="137.9"/>
        <n v="140.9"/>
        <n v="137.2"/>
        <n v="143.9"/>
        <n v="139.4"/>
        <n v="148"/>
        <n v="142.7"/>
        <n v="145.5"/>
        <n v="147.8"/>
        <n v="137.5"/>
        <n v="143"/>
        <n v="146.7"/>
        <n v="141.5"/>
        <n v="147.3"/>
        <n v="136.4"/>
        <n v="142.2"/>
        <n v="147.2"/>
        <n v="135"/>
        <n v="147.9"/>
        <n v="133.8"/>
        <n v="141.3"/>
        <n v="149.4"/>
        <n v="142.9"/>
        <n v="152.9"/>
        <n v="146.2"/>
        <n v="156.4"/>
        <n v="150.1"/>
        <n v="153.5"/>
        <n v="157.5"/>
        <n v="151.3"/>
        <n v="154.6"/>
        <n v="154.1"/>
        <n v="152.2"/>
        <n v="153.2"/>
        <n v="153.3"/>
        <n v="149.7"/>
        <n v="151.6"/>
        <n v="154.4"/>
        <n v="146.3"/>
        <n v="150.6"/>
        <n v="140"/>
        <n v="145.4"/>
        <n v="144.5"/>
        <n v="139.5"/>
        <n v="142.5"/>
        <n v="142.8"/>
        <n v="135.4"/>
        <n v="137.6"/>
        <n v="143.7"/>
        <n v="146.5"/>
        <n v="143.3"/>
        <n v="150.9"/>
        <n v="146.8"/>
        <n v="146.4"/>
        <n v="154.7"/>
        <n v="150.3"/>
        <n v="153.9"/>
        <n v="143.8"/>
        <n v="149.8"/>
        <n v="146.6"/>
        <n v="145.7"/>
        <n v="148.8"/>
        <n v="147.4"/>
        <n v="144.3"/>
        <n v="144.4"/>
        <n v="143.2"/>
        <n v="140.7"/>
        <n v="143.1"/>
        <n v="149.9"/>
        <n v="151.8"/>
        <n v="146.9"/>
        <n v="154.5"/>
        <n v="150.4"/>
        <n v="147"/>
        <n v="155.4"/>
        <n v="155.7"/>
        <n v="151.2"/>
        <n v="150.5"/>
        <n v="148.4"/>
        <n v="145.9"/>
        <n v="147.7"/>
        <n v="152.6"/>
        <n v="149.6"/>
        <n v="154"/>
        <n v="150.7"/>
        <n v="157.3"/>
        <n v="153.7"/>
        <n v="160.6"/>
        <n v="168.8"/>
        <n v="164.4"/>
        <n v="162.3"/>
        <n v="172.5"/>
        <n v="167.1"/>
        <n v="158.6"/>
        <n v="171.5"/>
        <n v="164.6"/>
        <n v="157.7"/>
        <n v="170.9"/>
        <n v="163.9"/>
        <n v="161.3"/>
        <n v="156.8"/>
        <n v="152.7"/>
        <n v="161.2"/>
        <n v="156.7"/>
        <n v="159.3"/>
        <n v="160.3"/>
        <n v="156.5"/>
        <n v="152"/>
        <n v="158.3"/>
        <n v="154.9"/>
        <n v="151.4"/>
        <n v="155.9"/>
        <n v="159.6"/>
        <n v="157.6"/>
        <n v="169.7"/>
        <n v="175.9"/>
        <n v="172.6"/>
        <n v="168"/>
        <n v="174.5"/>
        <n v="171"/>
        <n v="165.8"/>
        <n v="174.1"/>
        <n v="169.6"/>
        <n v="179.5"/>
        <n v="174.2"/>
        <n v="169.2"/>
        <n v="177.1"/>
        <n v="172.9"/>
        <n v="164.1"/>
        <n v="167.5"/>
        <n v="165.7"/>
        <n v="162.2"/>
        <n v="163.8"/>
        <n v="159.1"/>
        <n v="162.6"/>
        <n v="160.7"/>
        <n v="159.5"/>
        <n v="158"/>
        <n v="156.3"/>
        <n v="160.5"/>
        <n v="167.2"/>
        <n v="172.1"/>
        <n v="169.5"/>
        <n v="173.7"/>
        <n v="179.2"/>
        <n v="176.3"/>
        <n v="169"/>
        <n v="175.8"/>
        <n v="172.2"/>
      </sharedItems>
    </cacheField>
    <cacheField name="Vegetables" numFmtId="0">
      <sharedItems containsSemiMixedTypes="0" containsString="0" containsNumber="1" minValue="0" maxValue="245.3" count="311">
        <n v="101.9"/>
        <n v="102.9"/>
        <n v="102.2"/>
        <n v="102.4"/>
        <n v="104.9"/>
        <n v="103.2"/>
        <n v="101.4"/>
        <n v="103.8"/>
        <n v="103.4"/>
        <n v="109.7"/>
        <n v="105.5"/>
        <n v="107.3"/>
        <n v="123.7"/>
        <n v="112.9"/>
        <n v="118"/>
        <n v="143.6"/>
        <n v="126.7"/>
        <n v="129.2"/>
        <n v="160.9"/>
        <n v="140"/>
        <n v="138.9"/>
        <n v="177"/>
        <n v="151.8"/>
        <n v="154"/>
        <n v="174.3"/>
        <n v="164.9"/>
        <n v="183.5"/>
        <n v="171.2"/>
        <n v="178.1"/>
        <n v="192.8"/>
        <n v="183.1"/>
        <n v="145.7"/>
        <n v="144.8"/>
        <n v="145.4"/>
        <n v="123.9"/>
        <n v="118.9"/>
        <n v="122.2"/>
        <n v="116"/>
        <n v="111.5"/>
        <n v="114.5"/>
        <n v="117.9"/>
        <n v="113.3"/>
        <n v="116.3"/>
        <n v="120.5"/>
        <n v="121.2"/>
        <n v="120.7"/>
        <n v="127"/>
        <n v="125"/>
        <n v="129.3"/>
        <n v="137.5"/>
        <n v="132.1"/>
        <n v="150.1"/>
        <n v="172.4"/>
        <n v="157.7"/>
        <n v="161.1"/>
        <n v="181.9"/>
        <n v="168.2"/>
        <n v="158.8"/>
        <n v="168.6"/>
        <n v="162.1"/>
        <n v="155.3"/>
        <n v="159.6"/>
        <n v="156.8"/>
        <n v="152"/>
        <n v="153.2"/>
        <n v="152.4"/>
        <n v="140.3"/>
        <n v="141"/>
        <n v="140.5"/>
        <n v="132.3"/>
        <n v="134.4"/>
        <n v="133"/>
        <n v="128.2"/>
        <n v="131.8"/>
        <n v="129.4"/>
        <n v="128"/>
        <n v="131.4"/>
        <n v="127.5"/>
        <n v="130.8"/>
        <n v="128.6"/>
        <n v="128.5"/>
        <n v="135.6"/>
        <n v="130.9"/>
        <n v="135.2"/>
        <n v="146.7"/>
        <n v="139.1"/>
        <n v="140.8"/>
        <n v="153.5"/>
        <n v="145.1"/>
        <n v="153.6"/>
        <n v="165.5"/>
        <n v="157.6"/>
        <n v="158.9"/>
        <n v="168.5"/>
        <n v="162.2"/>
        <n v="165.8"/>
        <n v="160.4"/>
        <n v="155.2"/>
        <n v="164.6"/>
        <n v="158.4"/>
        <n v="145.5"/>
        <n v="149"/>
        <n v="140.1"/>
        <n v="144.1"/>
        <n v="141.5"/>
        <n v="130.3"/>
        <n v="130.7"/>
        <n v="128.1"/>
        <n v="129.8"/>
        <n v="134.1"/>
        <n v="136.8"/>
        <n v="135"/>
        <n v="141.8"/>
        <n v="151.4"/>
        <n v="152.5"/>
        <n v="173.7"/>
        <n v="159.7"/>
        <n v="158.2"/>
        <n v="179.5"/>
        <n v="165.4"/>
        <n v="156.9"/>
        <n v="163.5"/>
        <n v="159.1"/>
        <n v="149.5"/>
        <n v="152.9"/>
        <n v="150.7"/>
        <n v="149.2"/>
        <n v="155.1"/>
        <n v="151.2"/>
        <n v="142"/>
        <n v="141.9"/>
        <n v="121.1"/>
        <n v="125.3"/>
        <n v="119.8"/>
        <n v="118.7"/>
        <n v="119.4"/>
        <n v="119.1"/>
        <n v="120.2"/>
        <n v="119.5"/>
        <n v="119.7"/>
        <n v="121.5"/>
        <n v="127.1"/>
        <n v="123.4"/>
        <n v="123.8"/>
        <n v="125.6"/>
        <n v="128.8"/>
        <n v="142.2"/>
        <n v="133.3"/>
        <n v="151.5"/>
        <n v="175.1"/>
        <n v="159.5"/>
        <n v="162.9"/>
        <n v="179.8"/>
        <n v="154.5"/>
        <n v="160.7"/>
        <n v="156.6"/>
        <n v="157.1"/>
        <n v="173.2"/>
        <n v="162.6"/>
        <n v="168"/>
        <n v="185.2"/>
        <n v="173.8"/>
        <n v="161"/>
        <n v="163.2"/>
        <n v="161.7"/>
        <n v="152.1"/>
        <n v="150.5"/>
        <n v="151.6"/>
        <n v="142.4"/>
        <n v="136.9"/>
        <n v="138"/>
        <n v="134.6"/>
        <n v="135.1"/>
        <n v="127.6"/>
        <n v="132.6"/>
        <n v="137.8"/>
        <n v="143.5"/>
        <n v="144"/>
        <n v="143.7"/>
        <n v="154.2"/>
        <n v="159.2"/>
        <n v="155.9"/>
        <n v="156.3"/>
        <n v="157.3"/>
        <n v="149.4"/>
        <n v="151.3"/>
        <n v="150"/>
        <n v="147.6"/>
        <n v="153"/>
        <n v="147.5"/>
        <n v="145.2"/>
        <n v="136.6"/>
        <n v="132.4"/>
        <n v="131.7"/>
        <n v="130.5"/>
        <n v="131.3"/>
        <n v="128.7"/>
        <n v="131.6"/>
        <n v="129.7"/>
        <n v="141.2"/>
        <n v="133.4"/>
        <n v="161.6"/>
        <n v="143"/>
        <n v="140.6"/>
        <n v="169.8"/>
        <n v="180.1"/>
        <n v="160.3"/>
        <n v="156.2"/>
        <n v="189.1"/>
        <n v="167.4"/>
        <n v="163.4"/>
        <n v="192.4"/>
        <n v="178.8"/>
        <n v="207.2"/>
        <n v="188.4"/>
        <n v="191.4"/>
        <n v="215.7"/>
        <n v="199.6"/>
        <n v="209.5"/>
        <n v="231.5"/>
        <n v="217"/>
        <n v="191.5"/>
        <n v="207.8"/>
        <n v="197"/>
        <n v="165.1"/>
        <n v="181.7"/>
        <n v="170.7"/>
        <n v="152.3"/>
        <n v="167"/>
        <n v="162.7"/>
        <n v="180"/>
        <n v="148.9"/>
        <n v="156.5"/>
        <n v="171"/>
        <n v="191.9"/>
        <n v="202"/>
        <n v="186.7"/>
        <n v="200.6"/>
        <n v="226"/>
        <n v="209.2"/>
        <n v="222.2"/>
        <n v="245.3"/>
        <n v="230"/>
        <n v="225.2"/>
        <n v="240.9"/>
        <n v="230.5"/>
        <n v="187.8"/>
        <n v="206.8"/>
        <n v="194.2"/>
        <n v="149.7"/>
        <n v="180.2"/>
        <n v="160"/>
        <n v="166.1"/>
        <n v="138.4"/>
        <n v="166.5"/>
        <n v="147.9"/>
        <n v="144.7"/>
        <n v="176.2"/>
        <n v="155.4"/>
        <n v="152.8"/>
        <n v="186.4"/>
        <n v="164.2"/>
        <n v="153.9"/>
        <n v="183.3"/>
        <n v="162.3"/>
        <n v="170.4"/>
        <n v="214.4"/>
        <n v="185.3"/>
        <n v="183.9"/>
        <n v="229.1"/>
        <n v="199.2"/>
        <n v="172.3"/>
        <n v="219.5"/>
        <n v="188.3"/>
        <n v="203.6"/>
        <n v="198"/>
        <n v="169.7"/>
        <n v="155.8"/>
        <n v="166.9"/>
        <n v="190.7"/>
        <n v="166.2"/>
        <n v="203.2"/>
        <n v="174.9"/>
        <n v="167.3"/>
        <n v="211.5"/>
        <n v="182.3"/>
        <n v="208.5"/>
        <n v="182.1"/>
        <n v="173.1"/>
        <n v="213.1"/>
        <n v="176.9"/>
        <n v="220.8"/>
        <n v="191.8"/>
        <n v="184.8"/>
        <n v="228.6"/>
        <n v="199.7"/>
        <n v="171.6"/>
        <n v="205.5"/>
        <n v="150.2"/>
        <n v="178.7"/>
        <n v="159.9"/>
        <n v="142.9"/>
        <n v="175.3"/>
        <n v="140.9"/>
        <n v="175.8"/>
        <n v="152.7"/>
        <n v="175.9"/>
        <n v="142.8"/>
        <n v="179.9"/>
        <n v="148.7"/>
        <n v="185"/>
      </sharedItems>
    </cacheField>
    <cacheField name="Pulses and products" numFmtId="0">
      <sharedItems containsSemiMixedTypes="0" containsString="0" containsNumber="1" minValue="0" maxValue="191.6" count="264">
        <n v="106.1"/>
        <n v="105.8"/>
        <n v="106"/>
        <n v="105.9"/>
        <n v="104.1"/>
        <n v="105.3"/>
        <n v="105.7"/>
        <n v="103.5"/>
        <n v="105"/>
        <n v="104.6"/>
        <n v="105.2"/>
        <n v="106.8"/>
        <n v="105.4"/>
        <n v="106.3"/>
        <n v="107.1"/>
        <n v="105.1"/>
        <n v="106.4"/>
        <n v="107.4"/>
        <n v="104.7"/>
        <n v="106.5"/>
        <n v="108.1"/>
        <n v="108.3"/>
        <n v="107.3"/>
        <n v="109.1"/>
        <n v="108.2"/>
        <n v="109.5"/>
        <n v="108.7"/>
        <n v="109.6"/>
        <n v="107.5"/>
        <n v="108.9"/>
        <n v="109.8"/>
        <n v="109.3"/>
        <n v="110.2"/>
        <n v="111"/>
        <n v="111.5"/>
        <n v="112.6"/>
        <n v="111.9"/>
        <n v="112.2"/>
        <n v="112.8"/>
        <n v="112.4"/>
        <n v="113.2"/>
        <n v="113.1"/>
        <n v="114.1"/>
        <n v="115.2"/>
        <n v="114.5"/>
        <n v="115"/>
        <n v="116.9"/>
        <n v="115.6"/>
        <n v="115.5"/>
        <n v="117.4"/>
        <n v="116.1"/>
        <n v="116.2"/>
        <n v="119.3"/>
        <n v="117.2"/>
        <n v="116.3"/>
        <n v="120.1"/>
        <n v="117.6"/>
        <n v="122.9"/>
        <n v="119.1"/>
        <n v="118.8"/>
        <n v="125.1"/>
        <n v="120.9"/>
        <n v="119.9"/>
        <n v="127.2"/>
        <n v="122.4"/>
        <n v="121.5"/>
        <n v="131.3"/>
        <n v="124.8"/>
        <n v="124.3"/>
        <n v="142.6"/>
        <n v="130.5"/>
        <n v="131.9"/>
        <n v="148.1"/>
        <n v="137.4"/>
        <n v="133.8"/>
        <n v="149.5"/>
        <n v="139.1"/>
        <n v="137.9"/>
        <n v="156"/>
        <n v="144"/>
        <n v="142.1"/>
        <n v="165.4"/>
        <n v="150"/>
        <n v="154.2"/>
        <n v="187.2"/>
        <n v="165.3"/>
        <n v="160.8"/>
        <n v="191.6"/>
        <n v="171.2"/>
        <n v="162.1"/>
        <n v="190.1"/>
        <n v="171.5"/>
        <n v="163.8"/>
        <n v="184.2"/>
        <n v="170.7"/>
        <n v="162.8"/>
        <n v="176.4"/>
        <n v="167.4"/>
        <n v="161.2"/>
        <n v="170.3"/>
        <n v="164.3"/>
        <n v="162.7"/>
        <n v="176.9"/>
        <n v="167.5"/>
        <n v="166"/>
        <n v="182.8"/>
        <n v="171.7"/>
        <n v="169.2"/>
        <n v="184.4"/>
        <n v="174.3"/>
        <n v="171.8"/>
        <n v="188.4"/>
        <n v="177.4"/>
        <n v="172.2"/>
        <n v="182.3"/>
        <n v="175.6"/>
        <n v="170.4"/>
        <n v="173.6"/>
        <n v="170.2"/>
        <n v="175.7"/>
        <n v="172.1"/>
        <n v="170"/>
        <n v="174.9"/>
        <n v="167.9"/>
        <n v="168.7"/>
        <n v="161.7"/>
        <n v="155.1"/>
        <n v="159.5"/>
        <n v="156.9"/>
        <n v="143.1"/>
        <n v="152.2"/>
        <n v="148"/>
        <n v="135.8"/>
        <n v="143.9"/>
        <n v="144.5"/>
        <n v="140.9"/>
        <n v="141.8"/>
        <n v="131.5"/>
        <n v="138.3"/>
        <n v="140.2"/>
        <n v="128.2"/>
        <n v="136.2"/>
        <n v="138.1"/>
        <n v="124.7"/>
        <n v="133.6"/>
        <n v="123.5"/>
        <n v="132.7"/>
        <n v="137.1"/>
        <n v="124.5"/>
        <n v="132.9"/>
        <n v="136.4"/>
        <n v="124.1"/>
        <n v="132.3"/>
        <n v="122.2"/>
        <n v="131.2"/>
        <n v="119.8"/>
        <n v="129.1"/>
        <n v="131.8"/>
        <n v="118.4"/>
        <n v="127.3"/>
        <n v="130.2"/>
        <n v="117"/>
        <n v="125.8"/>
        <n v="129.3"/>
        <n v="124.6"/>
        <n v="128.4"/>
        <n v="114"/>
        <n v="122.3"/>
        <n v="126"/>
        <n v="112.3"/>
        <n v="121.4"/>
        <n v="126.4"/>
        <n v="121.7"/>
        <n v="126.8"/>
        <n v="113.6"/>
        <n v="125.4"/>
        <n v="113.5"/>
        <n v="121"/>
        <n v="115.3"/>
        <n v="117.5"/>
        <n v="121.3"/>
        <n v="118.2"/>
        <n v="120.3"/>
        <n v="120.7"/>
        <n v="121.8"/>
        <n v="124.4"/>
        <n v="124.9"/>
        <n v="128.7"/>
        <n v="127.4"/>
        <n v="128.3"/>
        <n v="130.6"/>
        <n v="128.9"/>
        <n v="130"/>
        <n v="129.8"/>
        <n v="130.9"/>
        <n v="132.2"/>
        <n v="130.3"/>
        <n v="131.6"/>
        <n v="133.1"/>
        <n v="132.5"/>
        <n v="134.6"/>
        <n v="135.7"/>
        <n v="138.8"/>
        <n v="137.2"/>
        <n v="141.1"/>
        <n v="140.4"/>
        <n v="139.6"/>
        <n v="139.7"/>
        <n v="150.2"/>
        <n v="150.8"/>
        <n v="150.4"/>
        <n v="150.3"/>
        <n v="152"/>
        <n v="150.9"/>
        <n v="149.9"/>
        <n v="151.3"/>
        <n v="149.3"/>
        <n v="149.8"/>
        <n v="155.9"/>
        <n v="158.7"/>
        <n v="156.8"/>
        <n v="161.5"/>
        <n v="160.2"/>
        <n v="160.4"/>
        <n v="158.3"/>
        <n v="159.8"/>
        <n v="158.8"/>
        <n v="159.2"/>
        <n v="161.1"/>
        <n v="165.1"/>
        <n v="165.9"/>
        <n v="165.5"/>
        <n v="166.9"/>
        <n v="163.6"/>
        <n v="164.7"/>
        <n v="164"/>
        <n v="164.5"/>
        <n v="164.1"/>
        <n v="163.9"/>
        <n v="165.2"/>
        <n v="164.2"/>
        <n v="164.4"/>
        <n v="163.2"/>
        <n v="163.7"/>
        <n v="163.4"/>
        <n v="165"/>
        <n v="164.6"/>
        <n v="167.1"/>
        <n v="167.3"/>
        <n v="167.2"/>
        <n v="169"/>
        <n v="169.1"/>
        <n v="169.7"/>
        <n v="169.9"/>
        <n v="169.8"/>
        <n v="171"/>
        <n v="170.5"/>
        <n v="171.3"/>
        <n v="170.8"/>
        <n v="170.9"/>
        <n v="171.1"/>
        <n v="172.8"/>
        <n v="174.7"/>
        <n v="173.4"/>
      </sharedItems>
    </cacheField>
    <cacheField name="Sugar and Confectionery" numFmtId="0">
      <sharedItems containsSemiMixedTypes="0" containsString="0" containsNumber="1" minValue="0" maxValue="124.2" count="204">
        <n v="106.8"/>
        <n v="105.1"/>
        <n v="106.2"/>
        <n v="105.7"/>
        <n v="103.8"/>
        <n v="105"/>
        <n v="102.6"/>
        <n v="104.2"/>
        <n v="102"/>
        <n v="103.5"/>
        <n v="103.7"/>
        <n v="101.9"/>
        <n v="103.1"/>
        <n v="104.1"/>
        <n v="101.4"/>
        <n v="103.2"/>
        <n v="104.3"/>
        <n v="101.3"/>
        <n v="103.3"/>
        <n v="101"/>
        <n v="100.8"/>
        <n v="103.9"/>
        <n v="100.2"/>
        <n v="102.7"/>
        <n v="103.6"/>
        <n v="99.5"/>
        <n v="102.2"/>
        <n v="102.9"/>
        <n v="98.6"/>
        <n v="101.5"/>
        <n v="101.8"/>
        <n v="96.9"/>
        <n v="101.1"/>
        <n v="95.4"/>
        <n v="99.2"/>
        <n v="101.2"/>
        <n v="96.3"/>
        <n v="99.6"/>
        <n v="100.3"/>
        <n v="102.8"/>
        <n v="104.8"/>
        <n v="104.7"/>
        <n v="104"/>
        <n v="99.8"/>
        <n v="102.1"/>
        <n v="97.8"/>
        <n v="100.6"/>
        <n v="100.5"/>
        <n v="96.1"/>
        <n v="99"/>
        <n v="100"/>
        <n v="95"/>
        <n v="98.3"/>
        <n v="98.9"/>
        <n v="93.2"/>
        <n v="97"/>
        <n v="91.6"/>
        <n v="95.7"/>
        <n v="97.6"/>
        <n v="90.8"/>
        <n v="95.3"/>
        <n v="89.8"/>
        <n v="94.1"/>
        <n v="85.7"/>
        <n v="91.3"/>
        <n v="93.1"/>
        <n v="85.3"/>
        <n v="90.5"/>
        <n v="92.5"/>
        <n v="86.3"/>
        <n v="90.4"/>
        <n v="93.7"/>
        <n v="89.4"/>
        <n v="92.3"/>
        <n v="94.5"/>
        <n v="93.3"/>
        <n v="92.7"/>
        <n v="97.7"/>
        <n v="96.7"/>
        <n v="97.4"/>
        <n v="98.7"/>
        <n v="99.1"/>
        <n v="98.8"/>
        <n v="100.4"/>
        <n v="100.9"/>
        <n v="109.1"/>
        <n v="106.4"/>
        <n v="107.5"/>
        <n v="111.1"/>
        <n v="108.7"/>
        <n v="108.8"/>
        <n v="112"/>
        <n v="109.9"/>
        <n v="110.3"/>
        <n v="113.3"/>
        <n v="111.3"/>
        <n v="112.1"/>
        <n v="114.6"/>
        <n v="112.9"/>
        <n v="113.1"/>
        <n v="115.1"/>
        <n v="113.8"/>
        <n v="113.4"/>
        <n v="115.4"/>
        <n v="114.1"/>
        <n v="115.6"/>
        <n v="115.5"/>
        <n v="114.4"/>
        <n v="114.8"/>
        <n v="117.3"/>
        <n v="116.2"/>
        <n v="119.5"/>
        <n v="116.9"/>
        <n v="120.3"/>
        <n v="118"/>
        <n v="117.4"/>
        <n v="120.8"/>
        <n v="118.5"/>
        <n v="118.6"/>
        <n v="121"/>
        <n v="119.4"/>
        <n v="118.9"/>
        <n v="120.9"/>
        <n v="119.6"/>
        <n v="120"/>
        <n v="121.5"/>
        <n v="120.5"/>
        <n v="122.1"/>
        <n v="121.2"/>
        <n v="122.4"/>
        <n v="121.4"/>
        <n v="122.6"/>
        <n v="121.8"/>
        <n v="122.5"/>
        <n v="123.9"/>
        <n v="123"/>
        <n v="121.9"/>
        <n v="120.7"/>
        <n v="118.8"/>
        <n v="117.9"/>
        <n v="117.1"/>
        <n v="114.2"/>
        <n v="116.1"/>
        <n v="115.2"/>
        <n v="110.6"/>
        <n v="113.7"/>
        <n v="111.8"/>
        <n v="105.3"/>
        <n v="109.6"/>
        <n v="112.4"/>
        <n v="108.4"/>
        <n v="114.3"/>
        <n v="113.5"/>
        <n v="114.7"/>
        <n v="112.3"/>
        <n v="112.8"/>
        <n v="111.9"/>
        <n v="111.6"/>
        <n v="112.5"/>
        <n v="111"/>
        <n v="110.4"/>
        <n v="108.3"/>
        <n v="109"/>
        <n v="109.3"/>
        <n v="111.2"/>
        <n v="110.8"/>
        <n v="111.7"/>
        <n v="112.7"/>
        <n v="114"/>
        <n v="113.2"/>
        <n v="113.6"/>
        <n v="115"/>
        <n v="112.6"/>
        <n v="119.8"/>
        <n v="116.3"/>
        <n v="116.8"/>
        <n v="116.4"/>
        <n v="115.3"/>
        <n v="118.1"/>
        <n v="114.9"/>
        <n v="117.2"/>
        <n v="115.7"/>
        <n v="112.2"/>
        <n v="115.9"/>
        <n v="113.9"/>
        <n v="114.5"/>
        <n v="120.4"/>
        <n v="119.7"/>
        <n v="119.3"/>
        <n v="121.6"/>
        <n v="123.1"/>
        <n v="120.6"/>
        <n v="121.3"/>
        <n v="118.2"/>
        <n v="119"/>
        <n v="119.1"/>
        <n v="119.9"/>
        <n v="119.2"/>
        <n v="120.2"/>
        <n v="122.2"/>
        <n v="121.1"/>
        <n v="123.4"/>
        <n v="122.7"/>
        <n v="124.2"/>
      </sharedItems>
    </cacheField>
    <cacheField name="Spices" numFmtId="0">
      <sharedItems containsSemiMixedTypes="0" containsString="0" containsNumber="1" minValue="0" maxValue="221" count="281">
        <n v="103.1"/>
        <n v="101.8"/>
        <n v="102.7"/>
        <n v="102.3"/>
        <n v="102.8"/>
        <n v="103.3"/>
        <n v="102.4"/>
        <n v="103"/>
        <n v="103.2"/>
        <n v="103.5"/>
        <n v="104"/>
        <n v="105"/>
        <n v="104.3"/>
        <n v="105.4"/>
        <n v="106.4"/>
        <n v="105.7"/>
        <n v="107.5"/>
        <n v="106.8"/>
        <n v="106.9"/>
        <n v="108.5"/>
        <n v="107.4"/>
        <n v="107.9"/>
        <n v="109.1"/>
        <n v="108.3"/>
        <n v="108.2"/>
        <n v="109.6"/>
        <n v="108.7"/>
        <n v="109"/>
        <n v="110.3"/>
        <n v="109.4"/>
        <n v="109.8"/>
        <n v="111.9"/>
        <n v="110.5"/>
        <n v="110.2"/>
        <n v="112.7"/>
        <n v="111"/>
        <n v="110.4"/>
        <n v="113.5"/>
        <n v="111.4"/>
        <n v="110.7"/>
        <n v="114.1"/>
        <n v="111.8"/>
        <n v="111.2"/>
        <n v="115.3"/>
        <n v="112.6"/>
        <n v="111.6"/>
        <n v="117"/>
        <n v="113.4"/>
        <n v="112.3"/>
        <n v="118.3"/>
        <n v="114.3"/>
        <n v="113.3"/>
        <n v="120"/>
        <n v="115.5"/>
        <n v="114.6"/>
        <n v="122.1"/>
        <n v="117.1"/>
        <n v="114.9"/>
        <n v="122.9"/>
        <n v="117.6"/>
        <n v="123.8"/>
        <n v="118.1"/>
        <n v="115.8"/>
        <n v="124.6"/>
        <n v="118.7"/>
        <n v="116"/>
        <n v="125.4"/>
        <n v="119.1"/>
        <n v="117.2"/>
        <n v="126.6"/>
        <n v="120.3"/>
        <n v="118.6"/>
        <n v="127.7"/>
        <n v="121.6"/>
        <n v="119.4"/>
        <n v="127.4"/>
        <n v="119.8"/>
        <n v="122.4"/>
        <n v="120.7"/>
        <n v="128.8"/>
        <n v="123.4"/>
        <n v="123"/>
        <n v="130.5"/>
        <n v="125.5"/>
        <n v="131.5"/>
        <n v="126.1"/>
        <n v="123.9"/>
        <n v="132.7"/>
        <n v="126.8"/>
        <n v="134.4"/>
        <n v="128.4"/>
        <n v="135.8"/>
        <n v="129.7"/>
        <n v="128.3"/>
        <n v="137.1"/>
        <n v="131.2"/>
        <n v="128.9"/>
        <n v="138.6"/>
        <n v="132.1"/>
        <n v="129.6"/>
        <n v="139.5"/>
        <n v="132.9"/>
        <n v="130.6"/>
        <n v="139.7"/>
        <n v="133.6"/>
        <n v="130.8"/>
        <n v="140.1"/>
        <n v="133.9"/>
        <n v="131.4"/>
        <n v="140.4"/>
        <n v="132.2"/>
        <n v="141.5"/>
        <n v="135.3"/>
        <n v="133.1"/>
        <n v="142.8"/>
        <n v="136.3"/>
        <n v="134.3"/>
        <n v="143.9"/>
        <n v="137.5"/>
        <n v="134.9"/>
        <n v="144.6"/>
        <n v="138.1"/>
        <n v="144.8"/>
        <n v="138.8"/>
        <n v="145.3"/>
        <n v="139.3"/>
        <n v="136.8"/>
        <n v="145.4"/>
        <n v="145.5"/>
        <n v="140.2"/>
        <n v="136.9"/>
        <n v="144.9"/>
        <n v="139.6"/>
        <n v="136"/>
        <n v="144"/>
        <n v="138.7"/>
        <n v="135.6"/>
        <n v="142.6"/>
        <n v="137.9"/>
        <n v="134.1"/>
        <n v="141.3"/>
        <n v="136.5"/>
        <n v="134"/>
        <n v="139.9"/>
        <n v="133.5"/>
        <n v="137.8"/>
        <n v="135.2"/>
        <n v="134.7"/>
        <n v="137.3"/>
        <n v="138.3"/>
        <n v="140.5"/>
        <n v="140.7"/>
        <n v="137.2"/>
        <n v="138.2"/>
        <n v="137.4"/>
        <n v="137.6"/>
        <n v="140"/>
        <n v="138.4"/>
        <n v="140.3"/>
        <n v="138.9"/>
        <n v="141.1"/>
        <n v="139.4"/>
        <n v="141.2"/>
        <n v="141"/>
        <n v="140.6"/>
        <n v="141.4"/>
        <n v="140.9"/>
        <n v="139.2"/>
        <n v="140.8"/>
        <n v="141.7"/>
        <n v="141.6"/>
        <n v="142.7"/>
        <n v="142.5"/>
        <n v="144.2"/>
        <n v="143.8"/>
        <n v="144.1"/>
        <n v="145.2"/>
        <n v="147.3"/>
        <n v="146.3"/>
        <n v="147"/>
        <n v="149.1"/>
        <n v="148"/>
        <n v="148.7"/>
        <n v="151.6"/>
        <n v="149.5"/>
        <n v="150.9"/>
        <n v="152.8"/>
        <n v="150.4"/>
        <n v="152"/>
        <n v="154"/>
        <n v="151.5"/>
        <n v="153.2"/>
        <n v="158.7"/>
        <n v="157.1"/>
        <n v="159.8"/>
        <n v="158.8"/>
        <n v="159.5"/>
        <n v="160"/>
        <n v="160.9"/>
        <n v="160.3"/>
        <n v="161.3"/>
        <n v="161"/>
        <n v="162"/>
        <n v="161.4"/>
        <n v="161.8"/>
        <n v="163.5"/>
        <n v="161.9"/>
        <n v="163"/>
        <n v="164.5"/>
        <n v="164"/>
        <n v="165"/>
        <n v="162.5"/>
        <n v="164.2"/>
        <n v="162.6"/>
        <n v="164.4"/>
        <n v="162.8"/>
        <n v="163.9"/>
        <n v="169.7"/>
        <n v="165.2"/>
        <n v="168.2"/>
        <n v="170"/>
        <n v="165.5"/>
        <n v="168.5"/>
        <n v="168.3"/>
        <n v="169.8"/>
        <n v="166.2"/>
        <n v="168.8"/>
        <n v="170.1"/>
        <n v="170.6"/>
        <n v="166.8"/>
        <n v="169.3"/>
        <n v="170.8"/>
        <n v="167.2"/>
        <n v="169.6"/>
        <n v="171.7"/>
        <n v="170.5"/>
        <n v="173.3"/>
        <n v="172.1"/>
        <n v="175.4"/>
        <n v="172.2"/>
        <n v="174.3"/>
        <n v="178.7"/>
        <n v="174.7"/>
        <n v="177.4"/>
        <n v="182.9"/>
        <n v="178"/>
        <n v="181.3"/>
        <n v="186.6"/>
        <n v="181.4"/>
        <n v="184.9"/>
        <n v="188.9"/>
        <n v="183.5"/>
        <n v="187.1"/>
        <n v="191.8"/>
        <n v="186.3"/>
        <n v="190"/>
        <n v="195.6"/>
        <n v="189.7"/>
        <n v="193.6"/>
        <n v="199.1"/>
        <n v="197.3"/>
        <n v="201.6"/>
        <n v="196.4"/>
        <n v="199.9"/>
        <n v="204.8"/>
        <n v="198.8"/>
        <n v="202.8"/>
        <n v="207.5"/>
        <n v="200.5"/>
        <n v="205.2"/>
        <n v="210.5"/>
        <n v="204.3"/>
        <n v="208.4"/>
        <n v="212.1"/>
        <n v="209.7"/>
        <n v="215.5"/>
        <n v="207.8"/>
        <n v="212.9"/>
        <n v="221"/>
        <n v="211.9"/>
        <n v="218"/>
      </sharedItems>
    </cacheField>
    <cacheField name="Non-alcoholic beverages" numFmtId="0">
      <sharedItems containsSemiMixedTypes="0" containsString="0" containsNumber="1" minValue="0" maxValue="178.7" count="267">
        <n v="104.8"/>
        <n v="105.1"/>
        <n v="104.9"/>
        <n v="106"/>
        <n v="105.5"/>
        <n v="105.6"/>
        <n v="107"/>
        <n v="106.2"/>
        <n v="106.5"/>
        <n v="108.2"/>
        <n v="107.2"/>
        <n v="107.4"/>
        <n v="109.1"/>
        <n v="108.1"/>
        <n v="110"/>
        <n v="109"/>
        <n v="110.4"/>
        <n v="109.6"/>
        <n v="109.7"/>
        <n v="110.9"/>
        <n v="110.2"/>
        <n v="111.1"/>
        <n v="110.7"/>
        <n v="111.4"/>
        <n v="111.2"/>
        <n v="111.8"/>
        <n v="112.1"/>
        <n v="112.4"/>
        <n v="112.3"/>
        <n v="112.9"/>
        <n v="112.6"/>
        <n v="113"/>
        <n v="112.2"/>
        <n v="112.7"/>
        <n v="113.5"/>
        <n v="113.2"/>
        <n v="114.2"/>
        <n v="113.7"/>
        <n v="114.9"/>
        <n v="115.6"/>
        <n v="113.8"/>
        <n v="114.8"/>
        <n v="115.8"/>
        <n v="114.4"/>
        <n v="115.2"/>
        <n v="116.5"/>
        <n v="116.8"/>
        <n v="116.1"/>
        <n v="116.4"/>
        <n v="117.3"/>
        <n v="117.9"/>
        <n v="118.8"/>
        <n v="118"/>
        <n v="118.9"/>
        <n v="117"/>
        <n v="118.1"/>
        <n v="119.4"/>
        <n v="117.2"/>
        <n v="118.5"/>
        <n v="120.2"/>
        <n v="117.7"/>
        <n v="119.2"/>
        <n v="121.1"/>
        <n v="119.8"/>
        <n v="121"/>
        <n v="118.3"/>
        <n v="119.9"/>
        <n v="121.5"/>
        <n v="120.4"/>
        <n v="121.9"/>
        <n v="119.1"/>
        <n v="120.7"/>
        <n v="122.3"/>
        <n v="123.1"/>
        <n v="121.7"/>
        <n v="123.3"/>
        <n v="122"/>
        <n v="124.3"/>
        <n v="120.5"/>
        <n v="122.7"/>
        <n v="124.8"/>
        <n v="120.6"/>
        <n v="123"/>
        <n v="124.9"/>
        <n v="125.4"/>
        <n v="123.6"/>
        <n v="126.1"/>
        <n v="124.2"/>
        <n v="126.4"/>
        <n v="121.6"/>
        <n v="124.4"/>
        <n v="127.3"/>
        <n v="125"/>
        <n v="128.1"/>
        <n v="125.5"/>
        <n v="128.8"/>
        <n v="122.1"/>
        <n v="126"/>
        <n v="128.7"/>
        <n v="122.5"/>
        <n v="126.2"/>
        <n v="129.1"/>
        <n v="126.6"/>
        <n v="129"/>
        <n v="123.2"/>
        <n v="129.4"/>
        <n v="123.4"/>
        <n v="126.9"/>
        <n v="129.8"/>
        <n v="127.2"/>
        <n v="130"/>
        <n v="123.8"/>
        <n v="127.4"/>
        <n v="130.3"/>
        <n v="127.6"/>
        <n v="130.4"/>
        <n v="127.8"/>
        <n v="131.4"/>
        <n v="128.5"/>
        <n v="131.6"/>
        <n v="124.6"/>
        <n v="131.7"/>
        <n v="131.3"/>
        <n v="125.1"/>
        <n v="131.9"/>
        <n v="129.2"/>
        <n v="131.1"/>
        <n v="125.7"/>
        <n v="131.2"/>
        <n v="125.9"/>
        <n v="130.5"/>
        <n v="128.6"/>
        <n v="126.5"/>
        <n v="129.6"/>
        <n v="132.2"/>
        <n v="129.9"/>
        <n v="132.8"/>
        <n v="126.7"/>
        <n v="126.8"/>
        <n v="133.8"/>
        <n v="133.1"/>
        <n v="127.7"/>
        <n v="130.8"/>
        <n v="134.6"/>
        <n v="133.6"/>
        <n v="137.5"/>
        <n v="128"/>
        <n v="133.5"/>
        <n v="137.8"/>
        <n v="137"/>
        <n v="133.3"/>
        <n v="137.4"/>
        <n v="128.3"/>
        <n v="133.7"/>
        <n v="137.7"/>
        <n v="128.9"/>
        <n v="134"/>
        <n v="138"/>
        <n v="134.2"/>
        <n v="138.5"/>
        <n v="129.5"/>
        <n v="134.7"/>
        <n v="134.9"/>
        <n v="135"/>
        <n v="138.6"/>
        <n v="130.2"/>
        <n v="135.1"/>
        <n v="138.7"/>
        <n v="135.3"/>
        <n v="139.3"/>
        <n v="135.8"/>
        <n v="139.7"/>
        <n v="136.1"/>
        <n v="140.1"/>
        <n v="131.5"/>
        <n v="136.5"/>
        <n v="136.7"/>
        <n v="139.2"/>
        <n v="136.8"/>
        <n v="142.1"/>
        <n v="135.6"/>
        <n v="139.4"/>
        <n v="143.5"/>
        <n v="140.6"/>
        <n v="145.4"/>
        <n v="142.2"/>
        <n v="147.4"/>
        <n v="144"/>
        <n v="150"/>
        <n v="141.5"/>
        <n v="146.5"/>
        <n v="153.4"/>
        <n v="143.3"/>
        <n v="149.2"/>
        <n v="156.1"/>
        <n v="145.9"/>
        <n v="151.8"/>
        <n v="160"/>
        <n v="155.5"/>
        <n v="160.6"/>
        <n v="150.7"/>
        <n v="156.5"/>
        <n v="161.9"/>
        <n v="151.5"/>
        <n v="157.6"/>
        <n v="164.6"/>
        <n v="152"/>
        <n v="159.3"/>
        <n v="165.5"/>
        <n v="152.3"/>
        <n v="166.2"/>
        <n v="160.9"/>
        <n v="167.6"/>
        <n v="154.8"/>
        <n v="162.7"/>
        <n v="168.3"/>
        <n v="168.8"/>
        <n v="155.4"/>
        <n v="163.2"/>
        <n v="169.1"/>
        <n v="163.7"/>
        <n v="169.7"/>
        <n v="164.2"/>
        <n v="169.8"/>
        <n v="156.6"/>
        <n v="164.3"/>
        <n v="170.5"/>
        <n v="156.7"/>
        <n v="164.7"/>
        <n v="171.2"/>
        <n v="157.1"/>
        <n v="165.3"/>
        <n v="172.4"/>
        <n v="157.5"/>
        <n v="173.2"/>
        <n v="158.5"/>
        <n v="167.1"/>
        <n v="174.2"/>
        <n v="159.1"/>
        <n v="167.9"/>
        <n v="174.5"/>
        <n v="159.8"/>
        <n v="168.4"/>
        <n v="174.8"/>
        <n v="160.5"/>
        <n v="175.4"/>
        <n v="161.1"/>
        <n v="169.4"/>
        <n v="175.8"/>
        <n v="161.6"/>
        <n v="169.9"/>
        <n v="176.4"/>
        <n v="162.1"/>
        <n v="170.4"/>
        <n v="176.8"/>
        <n v="162.8"/>
        <n v="171"/>
        <n v="176.9"/>
        <n v="171.4"/>
        <n v="177.6"/>
        <n v="164.9"/>
        <n v="172.3"/>
        <n v="178.2"/>
        <n v="172.9"/>
        <n v="178.7"/>
        <n v="165.9"/>
        <n v="173.4"/>
      </sharedItems>
    </cacheField>
    <cacheField name="Prepared meals, snacks, sweets etc." numFmtId="0">
      <sharedItems containsSemiMixedTypes="0" containsString="0" containsNumber="1" minValue="0" maxValue="197.7" count="308">
        <n v="106.7"/>
        <n v="107.9"/>
        <n v="107.3"/>
        <n v="107.7"/>
        <n v="109"/>
        <n v="108.3"/>
        <n v="108.2"/>
        <n v="109.8"/>
        <n v="108.9"/>
        <n v="108.8"/>
        <n v="110.6"/>
        <n v="109.6"/>
        <n v="109.9"/>
        <n v="111.3"/>
        <n v="110.5"/>
        <n v="111"/>
        <n v="112.2"/>
        <n v="111.6"/>
        <n v="112.1"/>
        <n v="113.1"/>
        <n v="112.6"/>
        <n v="114.3"/>
        <n v="113.4"/>
        <n v="114"/>
        <n v="115.4"/>
        <n v="114.6"/>
        <n v="114.9"/>
        <n v="116"/>
        <n v="117.1"/>
        <n v="116.5"/>
        <n v="116.8"/>
        <n v="118.1"/>
        <n v="117.4"/>
        <n v="117.3"/>
        <n v="119"/>
        <n v="117.8"/>
        <n v="119.9"/>
        <n v="118.8"/>
        <n v="118.3"/>
        <n v="120.5"/>
        <n v="119.3"/>
        <n v="118.7"/>
        <n v="121"/>
        <n v="119.8"/>
        <n v="119.2"/>
        <n v="121.7"/>
        <n v="120.4"/>
        <n v="120.1"/>
        <n v="122.4"/>
        <n v="121.2"/>
        <n v="120.9"/>
        <n v="123.4"/>
        <n v="122.1"/>
        <n v="124.7"/>
        <n v="123.1"/>
        <n v="122.6"/>
        <n v="125.2"/>
        <n v="123.8"/>
        <n v="123.2"/>
        <n v="125.9"/>
        <n v="124.5"/>
        <n v="126.9"/>
        <n v="125.6"/>
        <n v="124.8"/>
        <n v="127.6"/>
        <n v="126.1"/>
        <n v="128"/>
        <n v="126.7"/>
        <n v="126.8"/>
        <n v="128.6"/>
        <n v="127.7"/>
        <n v="129.2"/>
        <n v="128.4"/>
        <n v="128.7"/>
        <n v="129.5"/>
        <n v="129.1"/>
        <n v="129.8"/>
        <n v="129.9"/>
        <n v="131.2"/>
        <n v="130.5"/>
        <n v="130.9"/>
        <n v="131.7"/>
        <n v="131.1"/>
        <n v="131.4"/>
        <n v="132.5"/>
        <n v="132.1"/>
        <n v="132.7"/>
        <n v="132.3"/>
        <n v="133.1"/>
        <n v="132.9"/>
        <n v="133"/>
        <n v="134.2"/>
        <n v="133.7"/>
        <n v="134"/>
        <n v="135.1"/>
        <n v="134.7"/>
        <n v="135.9"/>
        <n v="135.3"/>
        <n v="136.4"/>
        <n v="135.2"/>
        <n v="135.8"/>
        <n v="137"/>
        <n v="135.4"/>
        <n v="136.3"/>
        <n v="137.4"/>
        <n v="136.7"/>
        <n v="138.3"/>
        <n v="139.2"/>
        <n v="136.9"/>
        <n v="138.1"/>
        <n v="139.9"/>
        <n v="137.5"/>
        <n v="138.8"/>
        <n v="140.7"/>
        <n v="139.5"/>
        <n v="141.5"/>
        <n v="140.2"/>
        <n v="142.4"/>
        <n v="139.6"/>
        <n v="141.1"/>
        <n v="143.1"/>
        <n v="140.3"/>
        <n v="141.8"/>
        <n v="143.6"/>
        <n v="140.9"/>
        <n v="142.3"/>
        <n v="143.9"/>
        <n v="141.6"/>
        <n v="142.8"/>
        <n v="144.4"/>
        <n v="141.9"/>
        <n v="143.2"/>
        <n v="145.4"/>
        <n v="144"/>
        <n v="145.5"/>
        <n v="142.6"/>
        <n v="144.2"/>
        <n v="145.8"/>
        <n v="142.9"/>
        <n v="144.5"/>
        <n v="146.5"/>
        <n v="144.9"/>
        <n v="147.7"/>
        <n v="143.7"/>
        <n v="148.7"/>
        <n v="146.8"/>
        <n v="149.3"/>
        <n v="145"/>
        <n v="147.3"/>
        <n v="150.3"/>
        <n v="148.1"/>
        <n v="151.4"/>
        <n v="146"/>
        <n v="148.9"/>
        <n v="146.3"/>
        <n v="149"/>
        <n v="151.8"/>
        <n v="149.5"/>
        <n v="151.7"/>
        <n v="147.1"/>
        <n v="149.6"/>
        <n v="152.8"/>
        <n v="147.6"/>
        <n v="150.4"/>
        <n v="153.8"/>
        <n v="148.3"/>
        <n v="151.2"/>
        <n v="154.3"/>
        <n v="154.8"/>
        <n v="149.4"/>
        <n v="152.3"/>
        <n v="155.2"/>
        <n v="153"/>
        <n v="155.9"/>
        <n v="151.3"/>
        <n v="152"/>
        <n v="154.5"/>
        <n v="156.1"/>
        <n v="152.6"/>
        <n v="156"/>
        <n v="152.9"/>
        <n v="154.6"/>
        <n v="155.8"/>
        <n v="153.2"/>
        <n v="156.2"/>
        <n v="153.5"/>
        <n v="154.9"/>
        <n v="156.4"/>
        <n v="153.9"/>
        <n v="155.5"/>
        <n v="156.6"/>
        <n v="155.1"/>
        <n v="156.7"/>
        <n v="155.6"/>
        <n v="156.9"/>
        <n v="157.2"/>
        <n v="156.8"/>
        <n v="157.4"/>
        <n v="157.1"/>
        <n v="157.7"/>
        <n v="157.5"/>
        <n v="158.3"/>
        <n v="158"/>
        <n v="158.7"/>
        <n v="158.5"/>
        <n v="158.6"/>
        <n v="159.2"/>
        <n v="159"/>
        <n v="159.1"/>
        <n v="160"/>
        <n v="159.6"/>
        <n v="159.4"/>
        <n v="159.5"/>
        <n v="161.8"/>
        <n v="161.7"/>
        <n v="161.5"/>
        <n v="163.3"/>
        <n v="162.3"/>
        <n v="161.6"/>
        <n v="164.4"/>
        <n v="162.9"/>
        <n v="161.9"/>
        <n v="164.8"/>
        <n v="163.2"/>
        <n v="162.7"/>
        <n v="165.1"/>
        <n v="163.8"/>
        <n v="163.6"/>
        <n v="166.1"/>
        <n v="164.3"/>
        <n v="167.2"/>
        <n v="165.6"/>
        <n v="165.8"/>
        <n v="169.4"/>
        <n v="167.5"/>
        <n v="166.4"/>
        <n v="170.3"/>
        <n v="168.2"/>
        <n v="166.8"/>
        <n v="171.4"/>
        <n v="168.9"/>
        <n v="169.8"/>
        <n v="171.1"/>
        <n v="170.4"/>
        <n v="171.7"/>
        <n v="173.3"/>
        <n v="172.4"/>
        <n v="171"/>
        <n v="173.5"/>
        <n v="172.2"/>
        <n v="171.9"/>
        <n v="175.1"/>
        <n v="173.9"/>
        <n v="172.8"/>
        <n v="173.6"/>
        <n v="175.9"/>
        <n v="174.7"/>
        <n v="174.3"/>
        <n v="176.8"/>
        <n v="175.5"/>
        <n v="178.2"/>
        <n v="176.5"/>
        <n v="175.8"/>
        <n v="179"/>
        <n v="177.3"/>
        <n v="176.3"/>
        <n v="180"/>
        <n v="178"/>
        <n v="177.4"/>
        <n v="181.5"/>
        <n v="179.3"/>
        <n v="178.9"/>
        <n v="183.3"/>
        <n v="180.9"/>
        <n v="180.4"/>
        <n v="184.9"/>
        <n v="182.5"/>
        <n v="181.9"/>
        <n v="186.3"/>
        <n v="183.9"/>
        <n v="183.1"/>
        <n v="187.7"/>
        <n v="185.2"/>
        <n v="184"/>
        <n v="188.9"/>
        <n v="184.8"/>
        <n v="190.4"/>
        <n v="187.4"/>
        <n v="185.6"/>
        <n v="191.5"/>
        <n v="188.3"/>
        <n v="186.9"/>
        <n v="192.4"/>
        <n v="189.5"/>
        <n v="193.3"/>
        <n v="190.3"/>
        <n v="188.5"/>
        <n v="194.3"/>
        <n v="191.2"/>
        <n v="189.9"/>
        <n v="196.6"/>
        <n v="193"/>
        <n v="190.5"/>
        <n v="197"/>
        <n v="193.5"/>
        <n v="191.1"/>
        <n v="197.7"/>
        <n v="194.2"/>
      </sharedItems>
    </cacheField>
    <cacheField name="Food and beverages" numFmtId="0">
      <sharedItems containsSemiMixedTypes="0" containsString="0" containsNumber="1" minValue="0" maxValue="183.3" count="276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2"/>
        <n v="129.8"/>
        <n v="131.1"/>
        <n v="130.3"/>
        <n v="131"/>
        <n v="131.5"/>
        <n v="131.2"/>
        <n v="131.8"/>
        <n v="132.6"/>
        <n v="132.1"/>
        <n v="132.4"/>
        <n v="133.3"/>
        <n v="132.7"/>
        <n v="131.4"/>
        <n v="131.3"/>
        <n v="129.1"/>
        <n v="129.9"/>
        <n v="130.4"/>
        <n v="133.6"/>
        <n v="134.6"/>
        <n v="134"/>
        <n v="136"/>
        <n v="138.2"/>
        <n v="136.8"/>
        <n v="137.6"/>
        <n v="139.8"/>
        <n v="138.4"/>
        <n v="138"/>
        <n v="137.9"/>
        <n v="137.2"/>
        <n v="135.7"/>
        <n v="136.6"/>
        <n v="137.4"/>
        <n v="136.3"/>
        <n v="137"/>
        <n v="135.2"/>
        <n v="136.1"/>
        <n v="134.7"/>
        <n v="132.8"/>
        <n v="133.7"/>
        <n v="132"/>
        <n v="133.1"/>
        <n v="133"/>
        <n v="133.4"/>
        <n v="133.5"/>
        <n v="133.8"/>
        <n v="134.9"/>
        <n v="138.5"/>
        <n v="139"/>
        <n v="140.6"/>
        <n v="140.5"/>
        <n v="139.6"/>
        <n v="140.4"/>
        <n v="139.7"/>
        <n v="140.1"/>
        <n v="142.4"/>
        <n v="141.5"/>
        <n v="142.1"/>
        <n v="138.8"/>
        <n v="139.2"/>
        <n v="138.7"/>
        <n v="135.6"/>
        <n v="138.6"/>
        <n v="134.8"/>
        <n v="137.5"/>
        <n v="139.1"/>
        <n v="136.4"/>
        <n v="138.1"/>
        <n v="140"/>
        <n v="139.4"/>
        <n v="142"/>
        <n v="140.3"/>
        <n v="141.4"/>
        <n v="142.7"/>
        <n v="141.7"/>
        <n v="141.3"/>
        <n v="138.9"/>
        <n v="140.2"/>
        <n v="137.3"/>
        <n v="143.8"/>
        <n v="140.9"/>
        <n v="141"/>
        <n v="145.6"/>
        <n v="143"/>
        <n v="147.7"/>
        <n v="144.7"/>
        <n v="144"/>
        <n v="149.1"/>
        <n v="145.9"/>
        <n v="145.5"/>
        <n v="149.5"/>
        <n v="147"/>
        <n v="148.3"/>
        <n v="151.9"/>
        <n v="149.6"/>
        <n v="150.9"/>
        <n v="153.6"/>
        <n v="154.3"/>
        <n v="156.3"/>
        <n v="155"/>
        <n v="153"/>
        <n v="154.4"/>
        <n v="153.5"/>
        <n v="149.8"/>
        <n v="151.7"/>
        <n v="150.5"/>
        <n v="148.2"/>
        <n v="150.1"/>
        <n v="148.9"/>
        <n v="151.4"/>
        <n v="152.3"/>
        <n v="157"/>
        <n v="154"/>
        <n v="155.3"/>
        <n v="159.9"/>
        <n v="156.1"/>
        <n v="161.3"/>
        <n v="158"/>
        <n v="159.6"/>
        <n v="164.4"/>
        <n v="161.4"/>
        <n v="163.4"/>
        <n v="167"/>
        <n v="164.7"/>
        <n v="164.5"/>
        <n v="165.4"/>
        <n v="161"/>
        <n v="154.7"/>
        <n v="160.8"/>
        <n v="156.9"/>
        <n v="154.5"/>
        <n v="160.4"/>
        <n v="156.7"/>
        <n v="155.6"/>
        <n v="162"/>
        <n v="158.7"/>
        <n v="164.2"/>
        <n v="160.7"/>
        <n v="160.5"/>
        <n v="166.2"/>
        <n v="162.6"/>
        <n v="161.7"/>
        <n v="167.9"/>
        <n v="164"/>
        <n v="161.8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</sharedItems>
    </cacheField>
    <cacheField name="Food" numFmtId="0">
      <sharedItems containsSemiMixedTypes="0" containsString="0" containsNumber="1" minValue="0" maxValue="179.6" count="258">
        <n v="105.5"/>
        <n v="105.9"/>
        <n v="105.6"/>
        <n v="106.2"/>
        <n v="107"/>
        <n v="106.5"/>
        <n v="106.3"/>
        <n v="106.7"/>
        <n v="106.6"/>
        <n v="107.5"/>
        <n v="106.9"/>
        <n v="107.2"/>
        <n v="109"/>
        <n v="107.9"/>
        <n v="109.2"/>
        <n v="112.7"/>
        <n v="110.5"/>
        <n v="111.2"/>
        <n v="114.6"/>
        <n v="112.4"/>
        <n v="112.5"/>
        <n v="115.9"/>
        <n v="113.6"/>
        <n v="114.5"/>
        <n v="115.4"/>
        <n v="114.7"/>
        <n v="116"/>
        <n v="116.7"/>
        <n v="116.2"/>
        <n v="118.2"/>
        <n v="118.8"/>
        <n v="118.4"/>
        <n v="116.1"/>
        <n v="115.7"/>
        <n v="114.4"/>
        <n v="114.2"/>
        <n v="114.3"/>
        <n v="114"/>
        <n v="113.5"/>
        <n v="113.9"/>
        <n v="114.1"/>
        <n v="116.5"/>
        <n v="117.3"/>
        <n v="116.8"/>
        <n v="117.4"/>
        <n v="119"/>
        <n v="118"/>
        <n v="120.2"/>
        <n v="123"/>
        <n v="121.3"/>
        <n v="121.7"/>
        <n v="124.4"/>
        <n v="122.7"/>
        <n v="121.8"/>
        <n v="122.6"/>
        <n v="122"/>
        <n v="121.6"/>
        <n v="122.1"/>
        <n v="120.7"/>
        <n v="120.9"/>
        <n v="120.6"/>
        <n v="121.1"/>
        <n v="120.8"/>
        <n v="121.2"/>
        <n v="122.3"/>
        <n v="124.5"/>
        <n v="125.9"/>
        <n v="124.9"/>
        <n v="125"/>
        <n v="126.4"/>
        <n v="125.4"/>
        <n v="126.7"/>
        <n v="127.6"/>
        <n v="126.9"/>
        <n v="127.5"/>
        <n v="128.1"/>
        <n v="128.8"/>
        <n v="130.2"/>
        <n v="129.2"/>
        <n v="129.7"/>
        <n v="131.4"/>
        <n v="129.4"/>
        <n v="130.7"/>
        <n v="130"/>
        <n v="130.9"/>
        <n v="130.1"/>
        <n v="128.9"/>
        <n v="129.1"/>
        <n v="128.3"/>
        <n v="131.3"/>
        <n v="132.6"/>
        <n v="134.4"/>
        <n v="133.1"/>
        <n v="134.5"/>
        <n v="137.5"/>
        <n v="135.4"/>
        <n v="136.2"/>
        <n v="139.3"/>
        <n v="137.2"/>
        <n v="136.7"/>
        <n v="136.8"/>
        <n v="135.1"/>
        <n v="135.7"/>
        <n v="136.3"/>
        <n v="135.6"/>
        <n v="135.9"/>
        <n v="135"/>
        <n v="133.9"/>
        <n v="133.6"/>
        <n v="131.8"/>
        <n v="132.9"/>
        <n v="133.4"/>
        <n v="131.2"/>
        <n v="132.5"/>
        <n v="133"/>
        <n v="132.2"/>
        <n v="132.8"/>
        <n v="131.5"/>
        <n v="132.3"/>
        <n v="133.8"/>
        <n v="133.2"/>
        <n v="136.4"/>
        <n v="136"/>
        <n v="136.1"/>
        <n v="137.9"/>
        <n v="137.3"/>
        <n v="134.6"/>
        <n v="137.8"/>
        <n v="135.8"/>
        <n v="136.9"/>
        <n v="139.8"/>
        <n v="138.2"/>
        <n v="139.1"/>
        <n v="139.5"/>
        <n v="138.1"/>
        <n v="138.5"/>
        <n v="137"/>
        <n v="137.1"/>
        <n v="132"/>
        <n v="135.2"/>
        <n v="137.7"/>
        <n v="136.5"/>
        <n v="139.9"/>
        <n v="138.4"/>
        <n v="134.9"/>
        <n v="136.6"/>
        <n v="134.2"/>
        <n v="135.5"/>
        <n v="138.8"/>
        <n v="141"/>
        <n v="140.5"/>
        <n v="142.9"/>
        <n v="141.3"/>
        <n v="141.1"/>
        <n v="143.8"/>
        <n v="142"/>
        <n v="142.2"/>
        <n v="144.2"/>
        <n v="144.4"/>
        <n v="146.4"/>
        <n v="145"/>
        <n v="146.5"/>
        <n v="148"/>
        <n v="147"/>
        <n v="149.3"/>
        <n v="150.5"/>
        <n v="149.7"/>
        <n v="149.1"/>
        <n v="149.6"/>
        <n v="146.9"/>
        <n v="147.4"/>
        <n v="145.7"/>
        <n v="146"/>
        <n v="145.8"/>
        <n v="151"/>
        <n v="149.9"/>
        <n v="150.1"/>
        <n v="153.5"/>
        <n v="151.3"/>
        <n v="152.2"/>
        <n v="155.8"/>
        <n v="152.9"/>
        <n v="157"/>
        <n v="154.4"/>
        <n v="156.2"/>
        <n v="160"/>
        <n v="157.6"/>
        <n v="160.2"/>
        <n v="163.1"/>
        <n v="161.2"/>
        <n v="161.6"/>
        <n v="163.5"/>
        <n v="162.2"/>
        <n v="158.9"/>
        <n v="161.3"/>
        <n v="159.7"/>
        <n v="156.9"/>
        <n v="158.8"/>
        <n v="157.7"/>
        <n v="160.7"/>
        <n v="163.4"/>
        <n v="162"/>
        <n v="163.3"/>
        <n v="165.7"/>
        <n v="164.1"/>
        <n v="164"/>
        <n v="167.1"/>
        <n v="165.2"/>
        <n v="163.9"/>
        <n v="166"/>
        <n v="164.8"/>
        <n v="166.5"/>
        <n v="169.1"/>
        <n v="167.3"/>
        <n v="167.8"/>
        <n v="170.6"/>
        <n v="168.8"/>
        <n v="166.8"/>
        <n v="169.7"/>
        <n v="165.6"/>
        <n v="168.2"/>
        <n v="165.4"/>
        <n v="168"/>
        <n v="166.2"/>
        <n v="167.6"/>
        <n v="168.9"/>
        <n v="171.6"/>
        <n v="170.3"/>
        <n v="171.3"/>
        <n v="174"/>
        <n v="172.2"/>
        <n v="172.9"/>
        <n v="176"/>
        <n v="173.3"/>
        <n v="176.3"/>
        <n v="174.3"/>
        <n v="173.5"/>
        <n v="176.4"/>
        <n v="174.6"/>
        <n v="174.4"/>
        <n v="177.4"/>
        <n v="175.5"/>
        <n v="175.7"/>
        <n v="178.6"/>
        <n v="176.7"/>
        <n v="178"/>
        <n v="175.2"/>
        <n v="176.6"/>
        <n v="175.6"/>
        <n v="177.7"/>
        <n v="177.2"/>
        <n v="175.3"/>
        <n v="174.9"/>
        <n v="178.3"/>
        <n v="176.1"/>
        <n v="176.2"/>
        <n v="179.6"/>
        <n v="177.5"/>
      </sharedItems>
    </cacheField>
    <cacheField name="Sum_Food" numFmtId="0">
      <sharedItems containsSemiMixedTypes="0" containsString="0" containsNumber="1" minValue="0" maxValue="2335.1" count="355">
        <n v="1371.7"/>
        <n v="1376.4"/>
        <n v="1373.3"/>
        <n v="1380.4"/>
        <n v="1390.6"/>
        <n v="1384.2"/>
        <n v="1382.2"/>
        <n v="1386.8"/>
        <n v="1384"/>
        <n v="1385.8"/>
        <n v="1397.7"/>
        <n v="1390.2"/>
        <n v="1394"/>
        <n v="1417.2"/>
        <n v="1402.2"/>
        <n v="1420"/>
        <n v="1464.6"/>
        <n v="1436"/>
        <n v="1445.9"/>
        <n v="1489.4"/>
        <n v="1461.4"/>
        <n v="1462.5"/>
        <n v="1506.1"/>
        <n v="1477.4"/>
        <n v="1488.5"/>
        <n v="1500.4"/>
        <n v="1491.7"/>
        <n v="1508"/>
        <n v="1517.2"/>
        <n v="1510.2"/>
        <n v="1536.8"/>
        <n v="1544.6"/>
        <n v="1538.8"/>
        <n v="1509"/>
        <n v="1504.4"/>
        <n v="1507.3"/>
        <n v="1486.6"/>
        <n v="1484.3"/>
        <n v="1485.8"/>
        <n v="1482.2"/>
        <n v="1476"/>
        <n v="1480.1"/>
        <n v="1491.4"/>
        <n v="1483"/>
        <n v="1488.3"/>
        <n v="1504.1"/>
        <n v="1504"/>
        <n v="1513.9"/>
        <n v="1525.3"/>
        <n v="1518.5"/>
        <n v="1525.7"/>
        <n v="1547"/>
        <n v="1533.7"/>
        <n v="1563.2"/>
        <n v="1599.5"/>
        <n v="1576.3"/>
        <n v="1582.3"/>
        <n v="1617"/>
        <n v="1594.5"/>
        <n v="1583.2"/>
        <n v="1593.7"/>
        <n v="1586.1"/>
        <n v="1581.2"/>
        <n v="1587.5"/>
        <n v="1582.7"/>
        <n v="1582"/>
        <n v="1587.8"/>
        <n v="1569.6"/>
        <n v="1577.2"/>
        <n v="1571.7"/>
        <n v="1568.1"/>
        <n v="1574.9"/>
        <n v="1569.3"/>
        <n v="1570.6"/>
        <n v="1571.1"/>
        <n v="1569.4"/>
        <n v="1571.5"/>
        <n v="1568"/>
        <n v="1569.1"/>
        <n v="1576.1"/>
        <n v="1575.7"/>
        <n v="1587.7"/>
        <n v="1598.9"/>
        <n v="1590.4"/>
        <n v="1617.9"/>
        <n v="1636.6"/>
        <n v="1623.5"/>
        <n v="1625.3"/>
        <n v="1642.9"/>
        <n v="1630.6"/>
        <n v="1646.6"/>
        <n v="1658.9"/>
        <n v="1649.6"/>
        <n v="1657.6"/>
        <n v="1664.8"/>
        <n v="1658.3"/>
        <n v="1674.6"/>
        <n v="1692.8"/>
        <n v="1679"/>
        <n v="1686.3"/>
        <n v="1708.5"/>
        <n v="1692.1"/>
        <n v="1682.3"/>
        <n v="1698.8"/>
        <n v="1686.1"/>
        <n v="1690.1"/>
        <n v="1701.4"/>
        <n v="1691.7"/>
        <n v="1682.6"/>
        <n v="1676.1"/>
        <n v="1678.1"/>
        <n v="1682.7"/>
        <n v="1667.6"/>
        <n v="1675.2"/>
        <n v="1701.6"/>
        <n v="1706.3"/>
        <n v="1701.3"/>
        <n v="1723.7"/>
        <n v="1746.8"/>
        <n v="1730.4"/>
        <n v="1748.6"/>
        <n v="1787"/>
        <n v="1760.6"/>
        <n v="1770.3"/>
        <n v="1811.5"/>
        <n v="1783.5"/>
        <n v="1777.5"/>
        <n v="1784"/>
        <n v="1777.9"/>
        <n v="1770.7"/>
        <n v="1756.4"/>
        <n v="1763.7"/>
        <n v="1771.8"/>
        <n v="1762.9"/>
        <n v="1766.8"/>
        <n v="1764.6"/>
        <n v="1755.2"/>
        <n v="1759.8"/>
        <n v="1749.1"/>
        <n v="1729.8"/>
        <n v="1740.7"/>
        <n v="1737.3"/>
        <n v="1713.2"/>
        <n v="1727.3"/>
        <n v="1734.5"/>
        <n v="1705.3"/>
        <n v="1722.3"/>
        <n v="1728.5"/>
        <n v="1705.7"/>
        <n v="1718.9"/>
        <n v="1726.3"/>
        <n v="1708.1"/>
        <n v="1718.4"/>
        <n v="1727.5"/>
        <n v="1709.6"/>
        <n v="1719.6"/>
        <n v="1738.8"/>
        <n v="1731"/>
        <n v="1734.7"/>
        <n v="1772.9"/>
        <n v="1768.1"/>
        <n v="1769.4"/>
        <n v="1792.5"/>
        <n v="1773"/>
        <n v="1783.8"/>
        <n v="1784.3"/>
        <n v="1749.7"/>
        <n v="1770"/>
        <n v="1790.9"/>
        <n v="1765.7"/>
        <n v="1779.7"/>
        <n v="1817.7"/>
        <n v="1796.7"/>
        <n v="1808.2"/>
        <n v="1813.6"/>
        <n v="1767.5"/>
        <n v="1795"/>
        <n v="1800.7"/>
        <n v="1748.3"/>
        <n v="1779.9"/>
        <n v="1781.5"/>
        <n v="1727.9"/>
        <n v="1760.4"/>
        <n v="1782"/>
        <n v="1715.5"/>
        <n v="1756"/>
        <n v="1780"/>
        <n v="1720"/>
        <n v="1757.1"/>
        <n v="1782.4"/>
        <n v="1722.9"/>
        <n v="1790.3"/>
        <n v="1747.3"/>
        <n v="1774.1"/>
        <n v="1810.5"/>
        <n v="1771.1"/>
        <n v="1795.3"/>
        <n v="1818.8"/>
        <n v="1767.6"/>
        <n v="1798.7"/>
        <n v="1799.8"/>
        <n v="1748.4"/>
        <n v="1779.5"/>
        <n v="1782.2"/>
        <n v="1754.1"/>
        <n v="1776.2"/>
        <n v="1787.5"/>
        <n v="1757.5"/>
        <n v="1775.7"/>
        <n v="1773.1"/>
        <n v="1746.6"/>
        <n v="1762.8"/>
        <n v="1759.6"/>
        <n v="1744.3"/>
        <n v="1753.4"/>
        <n v="1754.4"/>
        <n v="1761.2"/>
        <n v="1768.4"/>
        <n v="1782.1"/>
        <n v="1791.9"/>
        <n v="1804.2"/>
        <n v="1833.3"/>
        <n v="1814.1"/>
        <n v="1826.9"/>
        <n v="1857.4"/>
        <n v="1837.5"/>
        <n v="1834.5"/>
        <n v="1869.1"/>
        <n v="1846.5"/>
        <n v="1848.7"/>
        <n v="1874.9"/>
        <n v="1857.7"/>
        <n v="1876.9"/>
        <n v="1902.6"/>
        <n v="1885.6"/>
        <n v="1904.6"/>
        <n v="1924"/>
        <n v="1910.9"/>
        <n v="1941"/>
        <n v="1956.7"/>
        <n v="1946.1"/>
        <n v="1938.6"/>
        <n v="1945.4"/>
        <n v="1940.4"/>
        <n v="1909.8"/>
        <n v="1916.6"/>
        <n v="1911.6"/>
        <n v="1894.6"/>
        <n v="1898.5"/>
        <n v="1895.4"/>
        <n v="1941.5"/>
        <n v="1963.3"/>
        <n v="1949.3"/>
        <n v="1951"/>
        <n v="1995"/>
        <n v="1966.8"/>
        <n v="1978.6"/>
        <n v="2024.9"/>
        <n v="1995.2"/>
        <n v="1987.4"/>
        <n v="2041.6"/>
        <n v="2007"/>
        <n v="2030.9"/>
        <n v="2080.2"/>
        <n v="2048.6"/>
        <n v="2082.4"/>
        <n v="2120.7"/>
        <n v="2095.6"/>
        <n v="2100.5"/>
        <n v="2125.4"/>
        <n v="2109.1"/>
        <n v="2065.7"/>
        <n v="2097"/>
        <n v="2076.5"/>
        <n v="2025.3"/>
        <n v="2066"/>
        <n v="2039.3"/>
        <n v="2025.7"/>
        <n v="2064.5"/>
        <n v="2039.4"/>
        <n v="2049.5"/>
        <n v="2089.6"/>
        <n v="2064.1"/>
        <n v="2095.3"/>
        <n v="2124.7"/>
        <n v="2105.7"/>
        <n v="2122.6"/>
        <n v="2154.2"/>
        <n v="2133.9"/>
        <n v="2132.4"/>
        <n v="2171.8"/>
        <n v="2147"/>
        <n v="2130.8"/>
        <n v="2157.9"/>
        <n v="2142"/>
        <n v="2133.6"/>
        <n v="2164.2"/>
        <n v="2198.4"/>
        <n v="2175.5"/>
        <n v="2182"/>
        <n v="2217.9"/>
        <n v="2194.1"/>
        <n v="2168.2"/>
        <n v="2206.3"/>
        <n v="2180.9"/>
        <n v="2153"/>
        <n v="2186.7"/>
        <n v="2150.4"/>
        <n v="2183.5"/>
        <n v="2161.2"/>
        <n v="2179.1"/>
        <n v="2196.3"/>
        <n v="2184.2"/>
        <n v="2206.6"/>
        <n v="2230.4"/>
        <n v="2214.3"/>
        <n v="2226.8"/>
        <n v="2262.2"/>
        <n v="2238.9"/>
        <n v="2248.3"/>
        <n v="2287.5"/>
        <n v="2261.9"/>
        <n v="2252.5"/>
        <n v="2291.6"/>
        <n v="2266.3"/>
        <n v="2255.8"/>
        <n v="2293.7"/>
        <n v="2269.2"/>
        <n v="2267.8"/>
        <n v="2306.4"/>
        <n v="2280.9"/>
        <n v="2284.5"/>
        <n v="2322.3"/>
        <n v="2297.3"/>
        <n v="2287.7"/>
        <n v="2314.4"/>
        <n v="2296.8"/>
        <n v="2277.1"/>
        <n v="2295.8"/>
        <n v="2283.4"/>
        <n v="2283.2"/>
        <n v="2310.2"/>
        <n v="2292.7"/>
        <n v="2265.7"/>
        <n v="2303.2"/>
        <n v="2279.1"/>
        <n v="2265.8"/>
        <n v="2303.4"/>
        <n v="2279.2"/>
        <n v="2274.2"/>
        <n v="2317.7"/>
        <n v="2289.6"/>
        <n v="2290.7"/>
        <n v="2335.1"/>
        <n v="2306.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96.585775463" refreshedBy="meman" recordCount="369">
  <cacheSource type="worksheet">
    <worksheetSource ref="A1:F370" sheet="4. Practice sheet"/>
  </cacheSource>
  <cacheFields count="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0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Food" numFmtId="0">
      <sharedItems containsSemiMixedTypes="0" containsString="0" containsNumber="1" minValue="0" maxValue="2335.1" count="355">
        <n v="1371.7"/>
        <n v="1376.4"/>
        <n v="1373.3"/>
        <n v="1380.4"/>
        <n v="1390.6"/>
        <n v="1384.2"/>
        <n v="1382.2"/>
        <n v="1386.8"/>
        <n v="1384"/>
        <n v="1385.8"/>
        <n v="1397.7"/>
        <n v="1390.2"/>
        <n v="1394"/>
        <n v="1417.2"/>
        <n v="1402.2"/>
        <n v="1420"/>
        <n v="1464.6"/>
        <n v="1436"/>
        <n v="1445.9"/>
        <n v="1489.4"/>
        <n v="1461.4"/>
        <n v="1462.5"/>
        <n v="1506.1"/>
        <n v="1477.4"/>
        <n v="1488.5"/>
        <n v="1500.4"/>
        <n v="1491.7"/>
        <n v="1508"/>
        <n v="1517.2"/>
        <n v="1510.2"/>
        <n v="1536.8"/>
        <n v="1544.6"/>
        <n v="1538.8"/>
        <n v="1509"/>
        <n v="1504.4"/>
        <n v="1507.3"/>
        <n v="1486.6"/>
        <n v="1484.3"/>
        <n v="1485.8"/>
        <n v="1482.2"/>
        <n v="1476"/>
        <n v="1480.1"/>
        <n v="1491.4"/>
        <n v="1483"/>
        <n v="1488.3"/>
        <n v="1504.1"/>
        <n v="1504"/>
        <n v="1513.9"/>
        <n v="1525.3"/>
        <n v="1518.5"/>
        <n v="1525.7"/>
        <n v="1547"/>
        <n v="1533.7"/>
        <n v="1563.2"/>
        <n v="1599.5"/>
        <n v="1576.3"/>
        <n v="1582.3"/>
        <n v="1617"/>
        <n v="1594.5"/>
        <n v="1583.2"/>
        <n v="1593.7"/>
        <n v="1586.1"/>
        <n v="1581.2"/>
        <n v="1587.5"/>
        <n v="1582.7"/>
        <n v="1582"/>
        <n v="1587.8"/>
        <n v="1569.6"/>
        <n v="1577.2"/>
        <n v="1571.7"/>
        <n v="1568.1"/>
        <n v="1574.9"/>
        <n v="1569.3"/>
        <n v="1570.6"/>
        <n v="1571.1"/>
        <n v="1569.4"/>
        <n v="1571.5"/>
        <n v="1568"/>
        <n v="1569.1"/>
        <n v="1576.1"/>
        <n v="1575.7"/>
        <n v="1587.7"/>
        <n v="1598.9"/>
        <n v="1590.4"/>
        <n v="1617.9"/>
        <n v="1636.6"/>
        <n v="1623.5"/>
        <n v="1625.3"/>
        <n v="1642.9"/>
        <n v="1630.6"/>
        <n v="1646.6"/>
        <n v="1658.9"/>
        <n v="1649.6"/>
        <n v="1657.6"/>
        <n v="1664.8"/>
        <n v="1658.3"/>
        <n v="1674.6"/>
        <n v="1692.8"/>
        <n v="1679"/>
        <n v="1686.3"/>
        <n v="1708.5"/>
        <n v="1692.1"/>
        <n v="1682.3"/>
        <n v="1698.8"/>
        <n v="1686.1"/>
        <n v="1690.1"/>
        <n v="1701.4"/>
        <n v="1691.7"/>
        <n v="1682.6"/>
        <n v="1676.1"/>
        <n v="1678.1"/>
        <n v="1682.7"/>
        <n v="1667.6"/>
        <n v="1675.2"/>
        <n v="1701.6"/>
        <n v="1706.3"/>
        <n v="1701.3"/>
        <n v="1723.7"/>
        <n v="1746.8"/>
        <n v="1730.4"/>
        <n v="1748.6"/>
        <n v="1787"/>
        <n v="1760.6"/>
        <n v="1770.3"/>
        <n v="1811.5"/>
        <n v="1783.5"/>
        <n v="1777.5"/>
        <n v="1784"/>
        <n v="1777.9"/>
        <n v="1770.7"/>
        <n v="1756.4"/>
        <n v="1763.7"/>
        <n v="1771.8"/>
        <n v="1762.9"/>
        <n v="1766.8"/>
        <n v="1764.6"/>
        <n v="1755.2"/>
        <n v="1759.8"/>
        <n v="1749.1"/>
        <n v="1729.8"/>
        <n v="1740.7"/>
        <n v="1737.3"/>
        <n v="1713.2"/>
        <n v="1727.3"/>
        <n v="1734.5"/>
        <n v="1705.3"/>
        <n v="1722.3"/>
        <n v="1728.5"/>
        <n v="1705.7"/>
        <n v="1718.9"/>
        <n v="1726.3"/>
        <n v="1708.1"/>
        <n v="1718.4"/>
        <n v="1727.5"/>
        <n v="1709.6"/>
        <n v="1719.6"/>
        <n v="1738.8"/>
        <n v="1731"/>
        <n v="1734.7"/>
        <n v="1772.9"/>
        <n v="1768.1"/>
        <n v="1769.4"/>
        <n v="1792.5"/>
        <n v="1773"/>
        <n v="1783.8"/>
        <n v="1784.3"/>
        <n v="1749.7"/>
        <n v="1770"/>
        <n v="1790.9"/>
        <n v="1765.7"/>
        <n v="1779.7"/>
        <n v="1817.7"/>
        <n v="1796.7"/>
        <n v="1808.2"/>
        <n v="1813.6"/>
        <n v="1767.5"/>
        <n v="1795"/>
        <n v="1800.7"/>
        <n v="1748.3"/>
        <n v="1779.9"/>
        <n v="1781.5"/>
        <n v="1727.9"/>
        <n v="1760.4"/>
        <n v="1782"/>
        <n v="1715.5"/>
        <n v="1756"/>
        <n v="1780"/>
        <n v="1720"/>
        <n v="1757.1"/>
        <n v="1782.4"/>
        <n v="1722.9"/>
        <n v="1790.3"/>
        <n v="1747.3"/>
        <n v="1774.1"/>
        <n v="1810.5"/>
        <n v="1771.1"/>
        <n v="1795.3"/>
        <n v="1818.8"/>
        <n v="1767.6"/>
        <n v="1798.7"/>
        <n v="1799.8"/>
        <n v="1748.4"/>
        <n v="1779.5"/>
        <n v="1782.2"/>
        <n v="1754.1"/>
        <n v="1776.2"/>
        <n v="1787.5"/>
        <n v="1757.5"/>
        <n v="1775.7"/>
        <n v="1773.1"/>
        <n v="1746.6"/>
        <n v="1762.8"/>
        <n v="1759.6"/>
        <n v="1744.3"/>
        <n v="1753.4"/>
        <n v="1754.4"/>
        <n v="1761.2"/>
        <n v="1768.4"/>
        <n v="1782.1"/>
        <n v="1791.9"/>
        <n v="1804.2"/>
        <n v="1833.3"/>
        <n v="1814.1"/>
        <n v="1826.9"/>
        <n v="1857.4"/>
        <n v="1837.5"/>
        <n v="1834.5"/>
        <n v="1869.1"/>
        <n v="1846.5"/>
        <n v="1848.7"/>
        <n v="1874.9"/>
        <n v="1857.7"/>
        <n v="1876.9"/>
        <n v="1902.6"/>
        <n v="1885.6"/>
        <n v="1904.6"/>
        <n v="1924"/>
        <n v="1910.9"/>
        <n v="1941"/>
        <n v="1956.7"/>
        <n v="1946.1"/>
        <n v="1938.6"/>
        <n v="1945.4"/>
        <n v="1940.4"/>
        <n v="1909.8"/>
        <n v="1916.6"/>
        <n v="1911.6"/>
        <n v="1894.6"/>
        <n v="1898.5"/>
        <n v="1895.4"/>
        <n v="1941.5"/>
        <n v="1963.3"/>
        <n v="1949.3"/>
        <n v="1951"/>
        <n v="1995"/>
        <n v="1966.8"/>
        <n v="1978.6"/>
        <n v="2024.9"/>
        <n v="1995.2"/>
        <n v="1987.4"/>
        <n v="2041.6"/>
        <n v="2007"/>
        <n v="2030.9"/>
        <n v="2080.2"/>
        <n v="2048.6"/>
        <n v="2082.4"/>
        <n v="2120.7"/>
        <n v="2095.6"/>
        <n v="2100.5"/>
        <n v="2125.4"/>
        <n v="2109.1"/>
        <n v="2065.7"/>
        <n v="2097"/>
        <n v="2076.5"/>
        <n v="2025.3"/>
        <n v="2066"/>
        <n v="2039.3"/>
        <n v="2025.7"/>
        <n v="2064.5"/>
        <n v="2039.4"/>
        <n v="2049.5"/>
        <n v="2089.6"/>
        <n v="2064.1"/>
        <n v="2095.3"/>
        <n v="2124.7"/>
        <n v="2105.7"/>
        <n v="2122.6"/>
        <n v="2154.2"/>
        <n v="2133.9"/>
        <n v="2132.4"/>
        <n v="2171.8"/>
        <n v="2147"/>
        <n v="2130.8"/>
        <n v="2157.9"/>
        <n v="2142"/>
        <n v="2133.6"/>
        <n v="2164.2"/>
        <n v="2198.4"/>
        <n v="2175.5"/>
        <n v="2182"/>
        <n v="2217.9"/>
        <n v="2194.1"/>
        <n v="2168.2"/>
        <n v="2206.3"/>
        <n v="2180.9"/>
        <n v="2153"/>
        <n v="2186.7"/>
        <n v="2150.4"/>
        <n v="2183.5"/>
        <n v="2161.2"/>
        <n v="2179.1"/>
        <n v="2196.3"/>
        <n v="2184.2"/>
        <n v="2206.6"/>
        <n v="2230.4"/>
        <n v="2214.3"/>
        <n v="2226.8"/>
        <n v="2262.2"/>
        <n v="2238.9"/>
        <n v="2248.3"/>
        <n v="2287.5"/>
        <n v="2261.9"/>
        <n v="2252.5"/>
        <n v="2291.6"/>
        <n v="2266.3"/>
        <n v="2255.8"/>
        <n v="2293.7"/>
        <n v="2269.2"/>
        <n v="2267.8"/>
        <n v="2306.4"/>
        <n v="2280.9"/>
        <n v="2284.5"/>
        <n v="2322.3"/>
        <n v="2297.3"/>
        <n v="2287.7"/>
        <n v="2314.4"/>
        <n v="2296.8"/>
        <n v="2277.1"/>
        <n v="2295.8"/>
        <n v="2283.4"/>
        <n v="2283.2"/>
        <n v="2310.2"/>
        <n v="2292.7"/>
        <n v="2265.7"/>
        <n v="2303.2"/>
        <n v="2279.1"/>
        <n v="2265.8"/>
        <n v="2303.4"/>
        <n v="2279.2"/>
        <n v="2274.2"/>
        <n v="2317.7"/>
        <n v="2289.6"/>
        <n v="2290.7"/>
        <n v="2335.1"/>
        <n v="2306.9"/>
      </sharedItems>
    </cacheField>
    <cacheField name="HealthCare" numFmtId="0">
      <sharedItems containsSemiMixedTypes="0" containsString="0" containsNumber="1" minValue="0" maxValue="372.7" count="320">
        <n v="208.7"/>
        <n v="208.4"/>
        <n v="208.5"/>
        <n v="209"/>
        <n v="209.4"/>
        <n v="209.2"/>
        <n v="207.8"/>
        <n v="208.9"/>
        <n v="208.2"/>
        <n v="208.8"/>
        <n v="209.8"/>
        <n v="210.3"/>
        <n v="212.5"/>
        <n v="213.6"/>
        <n v="212.9"/>
        <n v="215"/>
        <n v="214.8"/>
        <n v="214.9"/>
        <n v="216.4"/>
        <n v="215.5"/>
        <n v="216"/>
        <n v="217.9"/>
        <n v="216.5"/>
        <n v="217.4"/>
        <n v="218.2"/>
        <n v="216.7"/>
        <n v="217.6"/>
        <n v="218.9"/>
        <n v="217.7"/>
        <n v="218.5"/>
        <n v="219.6"/>
        <n v="219.1"/>
        <n v="219.4"/>
        <n v="220.3"/>
        <n v="220"/>
        <n v="220.2"/>
        <n v="220.7"/>
        <n v="220.1"/>
        <n v="220.5"/>
        <n v="221"/>
        <n v="220.9"/>
        <n v="220.8"/>
        <n v="220.6"/>
        <n v="222.2"/>
        <n v="221.2"/>
        <n v="221.9"/>
        <n v="223.4"/>
        <n v="222.7"/>
        <n v="223.2"/>
        <n v="223.6"/>
        <n v="222.3"/>
        <n v="224.6"/>
        <n v="223.9"/>
        <n v="224.7"/>
        <n v="222.6"/>
        <n v="225.6"/>
        <n v="224.9"/>
        <n v="226.8"/>
        <n v="225.1"/>
        <n v="226.2"/>
        <n v="228.5"/>
        <n v="225.8"/>
        <n v="227.5"/>
        <n v="229"/>
        <n v="227.7"/>
        <n v="230.2"/>
        <n v="226.4"/>
        <n v="228.8"/>
        <n v="231.7"/>
        <n v="227.3"/>
        <n v="230"/>
        <n v="233.4"/>
        <n v="227.9"/>
        <n v="231.3"/>
        <n v="233.5"/>
        <n v="233.6"/>
        <n v="228.6"/>
        <n v="235.1"/>
        <n v="233.2"/>
        <n v="236.2"/>
        <n v="231.2"/>
        <n v="234.3"/>
        <n v="236.8"/>
        <n v="231.4"/>
        <n v="234.7"/>
        <n v="237.2"/>
        <n v="231.8"/>
        <n v="238.6"/>
        <n v="233.1"/>
        <n v="236.5"/>
        <n v="241.1"/>
        <n v="235.7"/>
        <n v="239.1"/>
        <n v="242.2"/>
        <n v="240.2"/>
        <n v="243.6"/>
        <n v="237.6"/>
        <n v="241.3"/>
        <n v="245.5"/>
        <n v="238.8"/>
        <n v="242.9"/>
        <n v="246.1"/>
        <n v="239.4"/>
        <n v="243.5"/>
        <n v="247.6"/>
        <n v="240.9"/>
        <n v="245"/>
        <n v="249"/>
        <n v="242.1"/>
        <n v="246.3"/>
        <n v="250.6"/>
        <n v="242.6"/>
        <n v="247.5"/>
        <n v="251.7"/>
        <n v="248.2"/>
        <n v="252.6"/>
        <n v="243.4"/>
        <n v="251.6"/>
        <n v="248"/>
        <n v="252.2"/>
        <n v="248.8"/>
        <n v="253.3"/>
        <n v="244.6"/>
        <n v="250"/>
        <n v="253.9"/>
        <n v="244.8"/>
        <n v="250.4"/>
        <n v="254.7"/>
        <n v="245.6"/>
        <n v="251.2"/>
        <n v="255.1"/>
        <n v="251.4"/>
        <n v="255.4"/>
        <n v="251.9"/>
        <n v="256.5"/>
        <n v="247.4"/>
        <n v="253"/>
        <n v="258.4"/>
        <n v="260.1"/>
        <n v="250.5"/>
        <n v="256.3"/>
        <n v="261.6"/>
        <n v="257.5"/>
        <n v="263.9"/>
        <n v="252.3"/>
        <n v="259.4"/>
        <n v="252.8"/>
        <n v="259.6"/>
        <n v="264.6"/>
        <n v="254.5"/>
        <n v="260.6"/>
        <n v="265"/>
        <n v="256"/>
        <n v="261.5"/>
        <n v="266"/>
        <n v="257.2"/>
        <n v="262.5"/>
        <n v="268"/>
        <n v="258.9"/>
        <n v="264.4"/>
        <n v="269.6"/>
        <n v="265.9"/>
        <n v="269.8"/>
        <n v="260.8"/>
        <n v="266.3"/>
        <n v="270.4"/>
        <n v="261.8"/>
        <n v="267.1"/>
        <n v="270.7"/>
        <n v="263.2"/>
        <n v="267.8"/>
        <n v="272"/>
        <n v="269.3"/>
        <n v="279.2"/>
        <n v="266.6"/>
        <n v="274.1"/>
        <n v="278.5"/>
        <n v="267.3"/>
        <n v="282.8"/>
        <n v="268.1"/>
        <n v="277.1"/>
        <n v="283.1"/>
        <n v="269.5"/>
        <n v="277.9"/>
        <n v="284.8"/>
        <n v="271.5"/>
        <n v="279.7"/>
        <n v="284.4"/>
        <n v="271.7"/>
        <n v="279.6"/>
        <n v="285.2"/>
        <n v="272.4"/>
        <n v="280.3"/>
        <n v="286.5"/>
        <n v="274"/>
        <n v="281.7"/>
        <n v="288.3"/>
        <n v="275.9"/>
        <n v="283.6"/>
        <n v="291.5"/>
        <n v="279.3"/>
        <n v="286.9"/>
        <n v="293.6"/>
        <n v="280.9"/>
        <n v="288.7"/>
        <n v="294"/>
        <n v="281.9"/>
        <n v="289.4"/>
        <n v="294.9"/>
        <n v="282.6"/>
        <n v="290.2"/>
        <n v="295.4"/>
        <n v="283.4"/>
        <n v="290.8"/>
        <n v="298.2"/>
        <n v="285.9"/>
        <n v="293.5"/>
        <n v="299.6"/>
        <n v="287.9"/>
        <n v="295.1"/>
        <n v="301.8"/>
        <n v="290.3"/>
        <n v="297.5"/>
        <n v="299.5"/>
        <n v="290"/>
        <n v="295.9"/>
        <n v="309.4"/>
        <n v="300.3"/>
        <n v="306"/>
        <n v="312.4"/>
        <n v="303.9"/>
        <n v="309.3"/>
        <n v="316.5"/>
        <n v="309.8"/>
        <n v="314"/>
        <n v="315.7"/>
        <n v="309.1"/>
        <n v="313.3"/>
        <n v="316.6"/>
        <n v="309.9"/>
        <n v="314.1"/>
        <n v="318.2"/>
        <n v="310.8"/>
        <n v="315.4"/>
        <n v="318.7"/>
        <n v="311.8"/>
        <n v="316.1"/>
        <n v="319.5"/>
        <n v="313"/>
        <n v="317.1"/>
        <n v="317.7"/>
        <n v="315.5"/>
        <n v="319.9"/>
        <n v="328.4"/>
        <n v="317.9"/>
        <n v="324.4"/>
        <n v="329.1"/>
        <n v="318.8"/>
        <n v="325.1"/>
        <n v="330.8"/>
        <n v="321.1"/>
        <n v="327.1"/>
        <n v="331.4"/>
        <n v="322.4"/>
        <n v="332.1"/>
        <n v="333.6"/>
        <n v="323.8"/>
        <n v="329.9"/>
        <n v="335.8"/>
        <n v="326"/>
        <n v="336.8"/>
        <n v="327.5"/>
        <n v="333.2"/>
        <n v="337.9"/>
        <n v="328.9"/>
        <n v="334.4"/>
        <n v="339.8"/>
        <n v="336.6"/>
        <n v="343.4"/>
        <n v="335"/>
        <n v="340.2"/>
        <n v="346"/>
        <n v="337.4"/>
        <n v="342.8"/>
        <n v="346.2"/>
        <n v="338.3"/>
        <n v="343.2"/>
        <n v="347.7"/>
        <n v="340.1"/>
        <n v="344.8"/>
        <n v="348.5"/>
        <n v="341.5"/>
        <n v="345.8"/>
        <n v="350.5"/>
        <n v="344"/>
        <n v="348"/>
        <n v="351"/>
        <n v="344.9"/>
        <n v="348.7"/>
        <n v="353.2"/>
        <n v="347"/>
        <n v="350.8"/>
        <n v="355.7"/>
        <n v="349.6"/>
        <n v="353.4"/>
        <n v="359.2"/>
        <n v="356.9"/>
        <n v="363.1"/>
        <n v="357.3"/>
        <n v="360.9"/>
        <n v="367.3"/>
        <n v="362.2"/>
        <n v="365.4"/>
        <n v="362.3"/>
        <n v="371"/>
        <n v="365.9"/>
        <n v="369"/>
        <n v="372.7"/>
        <n v="367.8"/>
        <n v="370.9"/>
      </sharedItems>
    </cacheField>
    <cacheField name="Essential Services" numFmtId="0">
      <sharedItems containsSemiMixedTypes="0" containsString="0" containsNumber="1" minValue="0" maxValue="537.9" count="343">
        <n v="310.6"/>
        <n v="310.5"/>
        <n v="311.8"/>
        <n v="311.3"/>
        <n v="311.6"/>
        <n v="312.1"/>
        <n v="313.1"/>
        <n v="313.4"/>
        <n v="313.3"/>
        <n v="314.8"/>
        <n v="316.6"/>
        <n v="322.3"/>
        <n v="322.5"/>
        <n v="318.5"/>
        <n v="324.4"/>
        <n v="325.1"/>
        <n v="327.5"/>
        <n v="326.9"/>
        <n v="327.3"/>
        <n v="330.4"/>
        <n v="328.8"/>
        <n v="329.8"/>
        <n v="332.5"/>
        <n v="331.7"/>
        <n v="335"/>
        <n v="332"/>
        <n v="333.8"/>
        <n v="335.6"/>
        <n v="332.4"/>
        <n v="334.3"/>
        <n v="337.2"/>
        <n v="334.5"/>
        <n v="336.1"/>
        <n v="338.6"/>
        <n v="336.2"/>
        <n v="337.7"/>
        <n v="340"/>
        <n v="337.1"/>
        <n v="338.9"/>
        <n v="341"/>
        <n v="338.2"/>
        <n v="341.8"/>
        <n v="339.5"/>
        <n v="340.9"/>
        <n v="343.2"/>
        <n v="339.4"/>
        <n v="341.7"/>
        <n v="345.5"/>
        <n v="341.3"/>
        <n v="343.9"/>
        <n v="346.8"/>
        <n v="342.6"/>
        <n v="345.1"/>
        <n v="348.6"/>
        <n v="343.4"/>
        <n v="346.5"/>
        <n v="350.6"/>
        <n v="344.5"/>
        <n v="348.1"/>
        <n v="352.5"/>
        <n v="346.1"/>
        <n v="349.9"/>
        <n v="352.1"/>
        <n v="346.3"/>
        <n v="349.7"/>
        <n v="354.6"/>
        <n v="347.9"/>
        <n v="351.9"/>
        <n v="357.7"/>
        <n v="349.8"/>
        <n v="354.5"/>
        <n v="359.4"/>
        <n v="351"/>
        <n v="356.1"/>
        <n v="361.3"/>
        <n v="352.3"/>
        <n v="357.6"/>
        <n v="363"/>
        <n v="353.2"/>
        <n v="359"/>
        <n v="364.4"/>
        <n v="353.3"/>
        <n v="359.9"/>
        <n v="365.9"/>
        <n v="354.7"/>
        <n v="368.4"/>
        <n v="356.2"/>
        <n v="363.5"/>
        <n v="369.8"/>
        <n v="357.1"/>
        <n v="364.6"/>
        <n v="371.9"/>
        <n v="358"/>
        <n v="366.2"/>
        <n v="374.1"/>
        <n v="367.9"/>
        <n v="368"/>
        <n v="376.2"/>
        <n v="361.9"/>
        <n v="370.3"/>
        <n v="379"/>
        <n v="362.2"/>
        <n v="372.1"/>
        <n v="379.6"/>
        <n v="362"/>
        <n v="372.4"/>
        <n v="380.6"/>
        <n v="373.4"/>
        <n v="381.9"/>
        <n v="364.2"/>
        <n v="374.7"/>
        <n v="382.8"/>
        <n v="375.2"/>
        <n v="384.6"/>
        <n v="365.4"/>
        <n v="376.7"/>
        <n v="387"/>
        <n v="378.3"/>
        <n v="388.7"/>
        <n v="367"/>
        <n v="379.9"/>
        <n v="390.3"/>
        <n v="381.4"/>
        <n v="391.5"/>
        <n v="370"/>
        <n v="382.7"/>
        <n v="393.4"/>
        <n v="371.3"/>
        <n v="384.3"/>
        <n v="394.9"/>
        <n v="372.7"/>
        <n v="385.8"/>
        <n v="397.3"/>
        <n v="375"/>
        <n v="388.1"/>
        <n v="399.4"/>
        <n v="377.5"/>
        <n v="401"/>
        <n v="379.1"/>
        <n v="391.9"/>
        <n v="402"/>
        <n v="378.7"/>
        <n v="392.4"/>
        <n v="401.4"/>
        <n v="377.2"/>
        <n v="391.4"/>
        <n v="404"/>
        <n v="379.5"/>
        <n v="393.9"/>
        <n v="408.1"/>
        <n v="381"/>
        <n v="397"/>
        <n v="411"/>
        <n v="384.4"/>
        <n v="400"/>
        <n v="413.8"/>
        <n v="388.2"/>
        <n v="403.1"/>
        <n v="419.1"/>
        <n v="393.1"/>
        <n v="408.3"/>
        <n v="421.2"/>
        <n v="395.2"/>
        <n v="410.4"/>
        <n v="422.5"/>
        <n v="397.2"/>
        <n v="411.9"/>
        <n v="423.6"/>
        <n v="398.5"/>
        <n v="413.2"/>
        <n v="424.5"/>
        <n v="399.2"/>
        <n v="414.1"/>
        <n v="427.6"/>
        <n v="399.3"/>
        <n v="416"/>
        <n v="429.3"/>
        <n v="400.4"/>
        <n v="417.5"/>
        <n v="429.8"/>
        <n v="402.1"/>
        <n v="418.5"/>
        <n v="433.5"/>
        <n v="405.3"/>
        <n v="421.9"/>
        <n v="436.1"/>
        <n v="408.8"/>
        <n v="424.9"/>
        <n v="438.3"/>
        <n v="411.4"/>
        <n v="427.3"/>
        <n v="443.5"/>
        <n v="414.8"/>
        <n v="434.4"/>
        <n v="445.2"/>
        <n v="419.4"/>
        <n v="434.2"/>
        <n v="445"/>
        <n v="415.1"/>
        <n v="432.4"/>
        <n v="444"/>
        <n v="412.6"/>
        <n v="430.8"/>
        <n v="443.9"/>
        <n v="412.2"/>
        <n v="430.6"/>
        <n v="445.4"/>
        <n v="414.6"/>
        <n v="432.5"/>
        <n v="446.5"/>
        <n v="416.7"/>
        <n v="434.1"/>
        <n v="446.8"/>
        <n v="417.3"/>
        <n v="447.4"/>
        <n v="415.3"/>
        <n v="448.2"/>
        <n v="415.2"/>
        <n v="434.6"/>
        <n v="449.4"/>
        <n v="417.1"/>
        <n v="436"/>
        <n v="451.3"/>
        <n v="420.6"/>
        <n v="438.6"/>
        <n v="452.8"/>
        <n v="424.8"/>
        <n v="441.1"/>
        <n v="453.9"/>
        <n v="426.2"/>
        <n v="442.3"/>
        <n v="456"/>
        <n v="429.1"/>
        <n v="444.7"/>
        <n v="458.9"/>
        <n v="448.4"/>
        <n v="459.4"/>
        <n v="436.7"/>
        <n v="449.8"/>
        <n v="450.2"/>
        <n v="437.2"/>
        <n v="432.2"/>
        <n v="443"/>
        <n v="453.2"/>
        <n v="446.9"/>
        <n v="454.3"/>
        <n v="438.9"/>
        <n v="447.9"/>
        <n v="455.3"/>
        <n v="438.7"/>
        <n v="448.3"/>
        <n v="458.3"/>
        <n v="440.4"/>
        <n v="450.8"/>
        <n v="460.5"/>
        <n v="441.8"/>
        <n v="452.7"/>
        <n v="462.5"/>
        <n v="446.3"/>
        <n v="455.6"/>
        <n v="469"/>
        <n v="455.4"/>
        <n v="463.1"/>
        <n v="470.7"/>
        <n v="461.9"/>
        <n v="466.6"/>
        <n v="472.9"/>
        <n v="463.9"/>
        <n v="468.8"/>
        <n v="482.1"/>
        <n v="467.2"/>
        <n v="475.7"/>
        <n v="481.8"/>
        <n v="466.4"/>
        <n v="475.1"/>
        <n v="484.3"/>
        <n v="469.9"/>
        <n v="478"/>
        <n v="486.1"/>
        <n v="476"/>
        <n v="482.2"/>
        <n v="487.1"/>
        <n v="476.2"/>
        <n v="491.1"/>
        <n v="480.1"/>
        <n v="486.2"/>
        <n v="492.4"/>
        <n v="481"/>
        <n v="487.4"/>
        <n v="492.9"/>
        <n v="481.1"/>
        <n v="487.7"/>
        <n v="495.2"/>
        <n v="482.9"/>
        <n v="489.8"/>
        <n v="498.6"/>
        <n v="485.9"/>
        <n v="493"/>
        <n v="500.7"/>
        <n v="488.4"/>
        <n v="495.3"/>
        <n v="508"/>
        <n v="497.3"/>
        <n v="503.2"/>
        <n v="511.7"/>
        <n v="502.1"/>
        <n v="507.3"/>
        <n v="513.8"/>
        <n v="503.8"/>
        <n v="509.2"/>
        <n v="518.7"/>
        <n v="510.4"/>
        <n v="514.8"/>
        <n v="520.4"/>
        <n v="511.6"/>
        <n v="516.3"/>
        <n v="522.8"/>
        <n v="513.7"/>
        <n v="518.5"/>
        <n v="526.4"/>
        <n v="517.2"/>
        <n v="522.1"/>
        <n v="529.2"/>
        <n v="519"/>
        <n v="524.5"/>
        <n v="529.9"/>
        <n v="518.6"/>
        <n v="524.8"/>
        <n v="532.5"/>
        <n v="520.2"/>
        <n v="527"/>
        <n v="533.7"/>
        <n v="525.5"/>
        <n v="529.8"/>
        <n v="533.5"/>
        <n v="525.3"/>
        <n v="529.6"/>
        <n v="535.8"/>
        <n v="526.9"/>
        <n v="531.5"/>
        <n v="537.9"/>
        <n v="529.1"/>
        <n v="533.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98.5942708333" refreshedBy="meman" recordCount="369">
  <cacheSource type="worksheet">
    <worksheetSource ref="A1:AI370" sheet="CPI_INDIA"/>
  </cacheSource>
  <cacheFields count="35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0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Cereals and products" numFmtId="0">
      <sharedItems containsSemiMixedTypes="0" containsString="0" containsNumber="1" minValue="0" maxValue="174.8" count="252">
        <n v="107.5"/>
        <n v="110.5"/>
        <n v="108.4"/>
        <n v="109.2"/>
        <n v="112.9"/>
        <n v="110.4"/>
        <n v="110.2"/>
        <n v="113.9"/>
        <n v="111.4"/>
        <n v="114.6"/>
        <n v="111.6"/>
        <n v="110.9"/>
        <n v="115.4"/>
        <n v="112.3"/>
        <n v="117"/>
        <n v="113.8"/>
        <n v="113.4"/>
        <n v="117.8"/>
        <n v="114.8"/>
        <n v="114.3"/>
        <n v="118.3"/>
        <n v="115.6"/>
        <n v="118.6"/>
        <n v="116.4"/>
        <n v="116.3"/>
        <n v="118.9"/>
        <n v="117.1"/>
        <n v="117.3"/>
        <n v="119.8"/>
        <n v="118.1"/>
        <n v="118.4"/>
        <n v="120.5"/>
        <n v="119.1"/>
        <n v="121.2"/>
        <n v="119.6"/>
        <n v="119.4"/>
        <n v="121.9"/>
        <n v="120.2"/>
        <n v="120.1"/>
        <n v="122.1"/>
        <n v="120.7"/>
        <n v="122.5"/>
        <n v="120.9"/>
        <n v="120.3"/>
        <n v="122.7"/>
        <n v="121.1"/>
        <n v="123.1"/>
        <n v="121.5"/>
        <n v="121.7"/>
        <n v="123.8"/>
        <n v="122.4"/>
        <n v="121.8"/>
        <n v="124.8"/>
        <n v="122.3"/>
        <n v="124.2"/>
        <n v="122.9"/>
        <n v="122.6"/>
        <n v="124.6"/>
        <n v="123.2"/>
        <n v="124.5"/>
        <n v="123.3"/>
        <n v="124"/>
        <n v="123.4"/>
        <n v="124.3"/>
        <n v="123.7"/>
        <n v="123.5"/>
        <n v="123.6"/>
        <n v="124.1"/>
        <n v="123.9"/>
        <n v="124.7"/>
        <n v="125.1"/>
        <n v="125.6"/>
        <n v="125"/>
        <n v="126.1"/>
        <n v="125.4"/>
        <n v="126.3"/>
        <n v="125.7"/>
        <n v="126.8"/>
        <n v="127.1"/>
        <n v="126.4"/>
        <n v="127.3"/>
        <n v="126.5"/>
        <n v="127.4"/>
        <n v="124.9"/>
        <n v="126.6"/>
        <n v="127.6"/>
        <n v="128.6"/>
        <n v="125.9"/>
        <n v="127.7"/>
        <n v="129.3"/>
        <n v="128.5"/>
        <n v="130.1"/>
        <n v="130.8"/>
        <n v="128.1"/>
        <n v="129.9"/>
        <n v="131.3"/>
        <n v="128.7"/>
        <n v="130.5"/>
        <n v="132"/>
        <n v="130.2"/>
        <n v="131.4"/>
        <n v="132.6"/>
        <n v="131.6"/>
        <n v="132.3"/>
        <n v="133.1"/>
        <n v="132.2"/>
        <n v="132.8"/>
        <n v="133.3"/>
        <n v="133.6"/>
        <n v="132.7"/>
        <n v="133.2"/>
        <n v="133"/>
        <n v="132.9"/>
        <n v="133.5"/>
        <n v="134"/>
        <n v="134.8"/>
        <n v="134.3"/>
        <n v="135.2"/>
        <n v="134.7"/>
        <n v="135.9"/>
        <n v="133.9"/>
        <n v="135.3"/>
        <n v="136.3"/>
        <n v="135.7"/>
        <n v="136.4"/>
        <n v="134.4"/>
        <n v="135.8"/>
        <n v="136.6"/>
        <n v="134.6"/>
        <n v="136"/>
        <n v="136.8"/>
        <n v="135"/>
        <n v="136.2"/>
        <n v="137.1"/>
        <n v="137.4"/>
        <n v="137.6"/>
        <n v="136.9"/>
        <n v="138.4"/>
        <n v="135.6"/>
        <n v="137.5"/>
        <n v="139.2"/>
        <n v="136.5"/>
        <n v="138.3"/>
        <n v="139.4"/>
        <n v="137"/>
        <n v="138.6"/>
        <n v="139.3"/>
        <n v="138.1"/>
        <n v="138.5"/>
        <n v="139.7"/>
        <n v="137.8"/>
        <n v="140.4"/>
        <n v="140.7"/>
        <n v="138.7"/>
        <n v="141.4"/>
        <n v="142.1"/>
        <n v="140.1"/>
        <n v="142.7"/>
        <n v="140.9"/>
        <n v="141"/>
        <n v="143.5"/>
        <n v="141.8"/>
        <n v="144.1"/>
        <n v="142.5"/>
        <n v="142.8"/>
        <n v="144.9"/>
        <n v="143.7"/>
        <n v="145.6"/>
        <n v="144.3"/>
        <n v="144.2"/>
        <n v="146.2"/>
        <n v="144.8"/>
        <n v="144.4"/>
        <n v="146.5"/>
        <n v="145.1"/>
        <n v="147.2"/>
        <n v="151.8"/>
        <n v="148.7"/>
        <n v="148.2"/>
        <n v="152.7"/>
        <n v="149.6"/>
        <n v="147.6"/>
        <n v="151.6"/>
        <n v="148.9"/>
        <n v="146.9"/>
        <n v="151.5"/>
        <n v="148.4"/>
        <n v="146"/>
        <n v="150.6"/>
        <n v="147.5"/>
        <n v="145.4"/>
        <n v="149.7"/>
        <n v="146.8"/>
        <n v="144.6"/>
        <n v="149"/>
        <n v="143.4"/>
        <n v="148"/>
        <n v="148.8"/>
        <n v="146.3"/>
        <n v="149.2"/>
        <n v="146.7"/>
        <n v="149.1"/>
        <n v="146.4"/>
        <n v="149.3"/>
        <n v="146.6"/>
        <n v="146.1"/>
        <n v="150.1"/>
        <n v="147.4"/>
        <n v="151"/>
        <n v="148.3"/>
        <n v="152.2"/>
        <n v="149.5"/>
        <n v="152.5"/>
        <n v="150"/>
        <n v="150.2"/>
        <n v="153.7"/>
        <n v="151.3"/>
        <n v="155.4"/>
        <n v="152.9"/>
        <n v="156.7"/>
        <n v="154.1"/>
        <n v="153.8"/>
        <n v="157.5"/>
        <n v="155"/>
        <n v="155.2"/>
        <n v="159.3"/>
        <n v="156.5"/>
        <n v="159.5"/>
        <n v="162.1"/>
        <n v="160.3"/>
        <n v="162.9"/>
        <n v="164.9"/>
        <n v="163.5"/>
        <n v="164.7"/>
        <n v="166.4"/>
        <n v="165.2"/>
        <n v="166.9"/>
        <n v="168.4"/>
        <n v="167.4"/>
        <n v="168.8"/>
        <n v="170.2"/>
        <n v="169.2"/>
        <n v="174"/>
        <n v="173.3"/>
        <n v="173.8"/>
        <n v="174.2"/>
        <n v="174.7"/>
        <n v="174.4"/>
        <n v="174.3"/>
        <n v="174.8"/>
        <n v="173.2"/>
        <n v="173.7"/>
      </sharedItems>
    </cacheField>
    <cacheField name="Meat and fish" numFmtId="0">
      <sharedItems containsSemiMixedTypes="0" containsString="0" containsNumber="1" minValue="0" maxValue="223.4" count="292">
        <n v="106.3"/>
        <n v="109.1"/>
        <n v="107.3"/>
        <n v="108.7"/>
        <n v="112.9"/>
        <n v="110.2"/>
        <n v="108.8"/>
        <n v="111.4"/>
        <n v="109.7"/>
        <n v="109.5"/>
        <n v="113.4"/>
        <n v="110.9"/>
        <n v="109.8"/>
        <n v="114.2"/>
        <n v="111.3"/>
        <n v="112.1"/>
        <n v="120.1"/>
        <n v="114.9"/>
        <n v="119.2"/>
        <n v="116.4"/>
        <n v="115.4"/>
        <n v="120.4"/>
        <n v="117.2"/>
        <n v="115.7"/>
        <n v="119.1"/>
        <n v="116.9"/>
        <n v="118.1"/>
        <n v="116.3"/>
        <n v="115.9"/>
        <n v="116.7"/>
        <n v="117.1"/>
        <n v="122"/>
        <n v="118.8"/>
        <n v="117.7"/>
        <n v="121.4"/>
        <n v="119.3"/>
        <n v="118.9"/>
        <n v="121.7"/>
        <n v="119.9"/>
        <n v="120.2"/>
        <n v="124.1"/>
        <n v="121.6"/>
        <n v="125.9"/>
        <n v="123.1"/>
        <n v="122.5"/>
        <n v="126.4"/>
        <n v="123.9"/>
        <n v="122.8"/>
        <n v="127.3"/>
        <n v="124.4"/>
        <n v="122.4"/>
        <n v="125.4"/>
        <n v="123.5"/>
        <n v="126.1"/>
        <n v="123.8"/>
        <n v="122.6"/>
        <n v="125.6"/>
        <n v="123.7"/>
        <n v="124.7"/>
        <n v="123.2"/>
        <n v="125.5"/>
        <n v="126.5"/>
        <n v="125.1"/>
        <n v="126.7"/>
        <n v="128.2"/>
        <n v="127.1"/>
        <n v="129.7"/>
        <n v="128"/>
        <n v="130.4"/>
        <n v="134.4"/>
        <n v="131.8"/>
        <n v="131.5"/>
        <n v="134.3"/>
        <n v="132.5"/>
        <n v="131.3"/>
        <n v="131.7"/>
        <n v="131.4"/>
        <n v="131.1"/>
        <n v="129"/>
        <n v="128.6"/>
        <n v="129.8"/>
        <n v="130.6"/>
        <n v="130.3"/>
        <n v="133.2"/>
        <n v="135.9"/>
        <n v="134.1"/>
        <n v="133.7"/>
        <n v="135.1"/>
        <n v="134.2"/>
        <n v="136.3"/>
        <n v="135.4"/>
        <n v="139.3"/>
        <n v="136.8"/>
        <n v="137.5"/>
        <n v="142.1"/>
        <n v="139.1"/>
        <n v="138.6"/>
        <n v="143.9"/>
        <n v="140.5"/>
        <n v="139.5"/>
        <n v="144.2"/>
        <n v="141.2"/>
        <n v="138.8"/>
        <n v="140.3"/>
        <n v="138.2"/>
        <n v="137.7"/>
        <n v="138"/>
        <n v="137.6"/>
        <n v="138.4"/>
        <n v="137.9"/>
        <n v="137.4"/>
        <n v="138.5"/>
        <n v="137.8"/>
        <n v="137.3"/>
        <n v="138.9"/>
        <n v="138.3"/>
        <n v="139.8"/>
        <n v="139.4"/>
        <n v="139"/>
        <n v="138.7"/>
        <n v="140.6"/>
        <n v="144.1"/>
        <n v="141.6"/>
        <n v="143.7"/>
        <n v="148.7"/>
        <n v="145.5"/>
        <n v="148.4"/>
        <n v="145.7"/>
        <n v="143.1"/>
        <n v="143.4"/>
        <n v="142"/>
        <n v="143"/>
        <n v="142.4"/>
        <n v="141.9"/>
        <n v="142.8"/>
        <n v="142.2"/>
        <n v="142.5"/>
        <n v="142.6"/>
        <n v="143.3"/>
        <n v="144.4"/>
        <n v="143.5"/>
        <n v="143.8"/>
        <n v="143.6"/>
        <n v="144.5"/>
        <n v="144.3"/>
        <n v="148.2"/>
        <n v="146.6"/>
        <n v="148.1"/>
        <n v="149.7"/>
        <n v="149.3"/>
        <n v="148.6"/>
        <n v="149.1"/>
        <n v="148.8"/>
        <n v="146.4"/>
        <n v="148"/>
        <n v="147.2"/>
        <n v="145.8"/>
        <n v="147.6"/>
        <n v="144.9"/>
        <n v="149.5"/>
        <n v="150.8"/>
        <n v="146.3"/>
        <n v="149.2"/>
        <n v="151.9"/>
        <n v="147.8"/>
        <n v="150.5"/>
        <n v="152.5"/>
        <n v="149.4"/>
        <n v="151.4"/>
        <n v="153"/>
        <n v="150.1"/>
        <n v="152"/>
        <n v="154.1"/>
        <n v="151.1"/>
        <n v="159.5"/>
        <n v="156.7"/>
        <n v="158.5"/>
        <n v="163.5"/>
        <n v="159.6"/>
        <n v="162.1"/>
        <n v="164"/>
        <n v="160.2"/>
        <n v="162.7"/>
        <n v="161.9"/>
        <n v="158.3"/>
        <n v="160.6"/>
        <n v="158.7"/>
        <n v="160.8"/>
        <n v="161.6"/>
        <n v="159.8"/>
        <n v="161"/>
        <n v="163.7"/>
        <n v="162.4"/>
        <n v="163.2"/>
        <n v="165.3"/>
        <n v="164.5"/>
        <n v="165"/>
        <n v="167.3"/>
        <n v="167.6"/>
        <n v="167.4"/>
        <n v="167.5"/>
        <n v="166.8"/>
        <n v="167"/>
        <n v="167.1"/>
        <n v="167.2"/>
        <n v="190.3"/>
        <n v="197"/>
        <n v="192.7"/>
        <n v="187.2"/>
        <n v="197.8"/>
        <n v="190.9"/>
        <n v="183.9"/>
        <n v="193.1"/>
        <n v="187.1"/>
        <n v="186.3"/>
        <n v="193.7"/>
        <n v="188.9"/>
        <n v="188.6"/>
        <n v="195.5"/>
        <n v="191"/>
        <n v="188.5"/>
        <n v="195.7"/>
        <n v="187.5"/>
        <n v="194.8"/>
        <n v="190.1"/>
        <n v="184"/>
        <n v="191.2"/>
        <n v="186.5"/>
        <n v="189.4"/>
        <n v="197.5"/>
        <n v="192.2"/>
        <n v="202.5"/>
        <n v="198"/>
        <n v="198.5"/>
        <n v="204.3"/>
        <n v="200.5"/>
        <n v="200.1"/>
        <n v="205.5"/>
        <n v="202"/>
        <n v="204.5"/>
        <n v="210.9"/>
        <n v="206.8"/>
        <n v="202.3"/>
        <n v="207.4"/>
        <n v="204"/>
        <n v="202.1"/>
        <n v="208.4"/>
        <n v="204.6"/>
        <n v="199.8"/>
        <n v="204.9"/>
        <n v="201.6"/>
        <n v="202.2"/>
        <n v="198.8"/>
        <n v="196.9"/>
        <n v="198.7"/>
        <n v="198.1"/>
        <n v="205.2"/>
        <n v="200.6"/>
        <n v="208"/>
        <n v="215.8"/>
        <n v="210.7"/>
        <n v="209.7"/>
        <n v="211.8"/>
        <n v="214.7"/>
        <n v="221.2"/>
        <n v="217"/>
        <n v="217.2"/>
        <n v="223.4"/>
        <n v="219.4"/>
        <n v="210.8"/>
        <n v="217.1"/>
        <n v="213"/>
        <n v="204.1"/>
        <n v="206.5"/>
        <n v="206.7"/>
        <n v="213.7"/>
        <n v="209.2"/>
        <n v="208.8"/>
        <n v="214.9"/>
        <n v="207.2"/>
        <n v="213.4"/>
        <n v="209.4"/>
        <n v="206.9"/>
        <n v="212.9"/>
        <n v="209"/>
        <n v="208.3"/>
        <n v="215.2"/>
        <n v="212.2"/>
        <n v="207.7"/>
        <n v="209.3"/>
        <n v="211.5"/>
        <n v="214.3"/>
      </sharedItems>
    </cacheField>
    <cacheField name="Egg" numFmtId="0">
      <sharedItems containsSemiMixedTypes="0" containsString="0" containsNumber="1" minValue="0" maxValue="197" count="282">
        <n v="108.1"/>
        <n v="113"/>
        <n v="110"/>
        <n v="110.2"/>
        <n v="116.9"/>
        <n v="112.8"/>
        <n v="109.9"/>
        <n v="113.2"/>
        <n v="111.2"/>
        <n v="106.9"/>
        <n v="106"/>
        <n v="106.6"/>
        <n v="105.9"/>
        <n v="102.7"/>
        <n v="104.7"/>
        <n v="112.5"/>
        <n v="109.8"/>
        <n v="110.5"/>
        <n v="114"/>
        <n v="111.9"/>
        <n v="111.1"/>
        <n v="112.7"/>
        <n v="111.7"/>
        <n v="112.3"/>
        <n v="112.6"/>
        <n v="114.5"/>
        <n v="113.3"/>
        <n v="116.2"/>
        <n v="122.6"/>
        <n v="118.7"/>
        <n v="120.4"/>
        <n v="128.5"/>
        <n v="123.5"/>
        <n v="120.5"/>
        <n v="129.9"/>
        <n v="124.1"/>
        <n v="121.2"/>
        <n v="124.5"/>
        <n v="122.5"/>
        <n v="120.7"/>
        <n v="121.5"/>
        <n v="121"/>
        <n v="118.1"/>
        <n v="114.2"/>
        <n v="115.9"/>
        <n v="116.1"/>
        <n v="115.4"/>
        <n v="115.8"/>
        <n v="117.7"/>
        <n v="118"/>
        <n v="117.8"/>
        <n v="116.5"/>
        <n v="117.3"/>
        <n v="116.4"/>
        <n v="118.3"/>
        <n v="119.9"/>
        <n v="122.7"/>
        <n v="121.8"/>
        <n v="126.3"/>
        <n v="122.1"/>
        <n v="126.6"/>
        <n v="123.8"/>
        <n v="119.5"/>
        <n v="121.1"/>
        <n v="118.9"/>
        <n v="113.5"/>
        <n v="116.8"/>
        <n v="117.2"/>
        <n v="114.4"/>
        <n v="111.3"/>
        <n v="115"/>
        <n v="120.9"/>
        <n v="121.6"/>
        <n v="122"/>
        <n v="121.3"/>
        <n v="120.1"/>
        <n v="115.6"/>
        <n v="120.8"/>
        <n v="121.7"/>
        <n v="123.3"/>
        <n v="127.1"/>
        <n v="124.8"/>
        <n v="126.5"/>
        <n v="132"/>
        <n v="128.6"/>
        <n v="127.7"/>
        <n v="130.3"/>
        <n v="128.7"/>
        <n v="125.1"/>
        <n v="123.7"/>
        <n v="124.6"/>
        <n v="123.4"/>
        <n v="124.4"/>
        <n v="127"/>
        <n v="125.4"/>
        <n v="130.9"/>
        <n v="128.3"/>
        <n v="129.6"/>
        <n v="136.6"/>
        <n v="132.3"/>
        <n v="133.7"/>
        <n v="131.6"/>
        <n v="130.5"/>
        <n v="130.6"/>
        <n v="130.1"/>
        <n v="130.2"/>
        <n v="134.1"/>
        <n v="134.9"/>
        <n v="132.9"/>
        <n v="131.9"/>
        <n v="132.6"/>
        <n v="132.2"/>
        <n v="129.3"/>
        <n v="128.8"/>
        <n v="128.4"/>
        <n v="126.1"/>
        <n v="126.8"/>
        <n v="125.6"/>
        <n v="128"/>
        <n v="128.1"/>
        <n v="129.8"/>
        <n v="129.4"/>
        <n v="130"/>
        <n v="129.7"/>
        <n v="131"/>
        <n v="131.4"/>
        <n v="131.2"/>
        <n v="140.5"/>
        <n v="146.7"/>
        <n v="142.9"/>
        <n v="144.8"/>
        <n v="145.9"/>
        <n v="145.2"/>
        <n v="143.8"/>
        <n v="143.6"/>
        <n v="143.7"/>
        <n v="140.6"/>
        <n v="139.9"/>
        <n v="140.3"/>
        <n v="140"/>
        <n v="135.5"/>
        <n v="138.3"/>
        <n v="135.9"/>
        <n v="130.8"/>
        <n v="133.9"/>
        <n v="133.6"/>
        <n v="136.7"/>
        <n v="135.6"/>
        <n v="139.3"/>
        <n v="139.1"/>
        <n v="139.2"/>
        <n v="138.1"/>
        <n v="132.8"/>
        <n v="135.1"/>
        <n v="134.6"/>
        <n v="133.5"/>
        <n v="137.3"/>
        <n v="137.8"/>
        <n v="137.1"/>
        <n v="137.4"/>
        <n v="141.1"/>
        <n v="138.8"/>
        <n v="138.2"/>
        <n v="143.5"/>
        <n v="140.2"/>
        <n v="145.3"/>
        <n v="141.5"/>
        <n v="138.7"/>
        <n v="134.5"/>
        <n v="136"/>
        <n v="136.2"/>
        <n v="140.4"/>
        <n v="138.4"/>
        <n v="142.5"/>
        <n v="140.8"/>
        <n v="138.5"/>
        <n v="141.6"/>
        <n v="139.6"/>
        <n v="141.2"/>
        <n v="144.7"/>
        <n v="142.6"/>
        <n v="148.4"/>
        <n v="145.6"/>
        <n v="149.5"/>
        <n v="153.7"/>
        <n v="151.1"/>
        <n v="153.5"/>
        <n v="157"/>
        <n v="154.9"/>
        <n v="150.9"/>
        <n v="153.1"/>
        <n v="151.8"/>
        <n v="147.6"/>
        <n v="148.9"/>
        <n v="148.1"/>
        <n v="146.9"/>
        <n v="151.9"/>
        <n v="148.8"/>
        <n v="149.4"/>
        <n v="154.6"/>
        <n v="151.4"/>
        <n v="154.5"/>
        <n v="150.8"/>
        <n v="157.3"/>
        <n v="152.5"/>
        <n v="159.2"/>
        <n v="164.8"/>
        <n v="161.4"/>
        <n v="171.6"/>
        <n v="176.9"/>
        <n v="173.6"/>
        <n v="173.4"/>
        <n v="178.3"/>
        <n v="175.3"/>
        <n v="178.4"/>
        <n v="168"/>
        <n v="169.9"/>
        <n v="168.7"/>
        <n v="163.2"/>
        <n v="164.7"/>
        <n v="163.8"/>
        <n v="163.4"/>
        <n v="166.4"/>
        <n v="164.6"/>
        <n v="168.6"/>
        <n v="173"/>
        <n v="170.3"/>
        <n v="179.3"/>
        <n v="182.8"/>
        <n v="180.7"/>
        <n v="180.4"/>
        <n v="185"/>
        <n v="182.2"/>
        <n v="176.5"/>
        <n v="174.1"/>
        <n v="172.8"/>
        <n v="172"/>
        <n v="170.1"/>
        <n v="171.2"/>
        <n v="171.5"/>
        <n v="175.4"/>
        <n v="180"/>
        <n v="177.9"/>
        <n v="178"/>
        <n v="180.1"/>
        <n v="178.8"/>
        <n v="175.5"/>
        <n v="176.4"/>
        <n v="175.8"/>
        <n v="167.9"/>
        <n v="167.7"/>
        <n v="167.8"/>
        <n v="164.5"/>
        <n v="164.1"/>
        <n v="162.4"/>
        <n v="169.6"/>
        <n v="170.8"/>
        <n v="174.3"/>
        <n v="176.6"/>
        <n v="175.2"/>
        <n v="168.3"/>
        <n v="170.6"/>
        <n v="169.2"/>
        <n v="169"/>
        <n v="170.9"/>
        <n v="169.7"/>
        <n v="171.9"/>
        <n v="180.2"/>
        <n v="183.2"/>
        <n v="181.4"/>
        <n v="189.1"/>
        <n v="191.9"/>
        <n v="190.2"/>
        <n v="192.9"/>
        <n v="197"/>
        <n v="194.5"/>
        <n v="173.9"/>
        <n v="177.2"/>
        <n v="172.4"/>
        <n v="171"/>
        <n v="176.7"/>
        <n v="173.2"/>
      </sharedItems>
    </cacheField>
    <cacheField name="Milk and products" numFmtId="0">
      <sharedItems containsSemiMixedTypes="0" containsString="0" containsNumber="1" minValue="0" maxValue="179.6" count="268">
        <n v="104.9"/>
        <n v="103.6"/>
        <n v="104.4"/>
        <n v="105.4"/>
        <n v="104"/>
        <n v="105.6"/>
        <n v="104.3"/>
        <n v="105.1"/>
        <n v="106.3"/>
        <n v="104.7"/>
        <n v="105.7"/>
        <n v="107.5"/>
        <n v="105.5"/>
        <n v="106.8"/>
        <n v="108.3"/>
        <n v="107.3"/>
        <n v="107.9"/>
        <n v="109.3"/>
        <n v="108.9"/>
        <n v="110"/>
        <n v="109.6"/>
        <n v="111"/>
        <n v="110.5"/>
        <n v="111.7"/>
        <n v="110.4"/>
        <n v="111.2"/>
        <n v="112.8"/>
        <n v="112"/>
        <n v="112.5"/>
        <n v="113.8"/>
        <n v="113.4"/>
        <n v="114.4"/>
        <n v="113.6"/>
        <n v="114.1"/>
        <n v="115"/>
        <n v="115.2"/>
        <n v="115.1"/>
        <n v="116.1"/>
        <n v="116.2"/>
        <n v="117"/>
        <n v="118"/>
        <n v="119.1"/>
        <n v="118.4"/>
        <n v="119.3"/>
        <n v="120.4"/>
        <n v="119.7"/>
        <n v="120.6"/>
        <n v="121.6"/>
        <n v="121"/>
        <n v="121.9"/>
        <n v="122.2"/>
        <n v="122"/>
        <n v="122.7"/>
        <n v="123.2"/>
        <n v="123.1"/>
        <n v="124"/>
        <n v="124.6"/>
        <n v="124.2"/>
        <n v="124.9"/>
        <n v="124.5"/>
        <n v="125.2"/>
        <n v="125"/>
        <n v="125.8"/>
        <n v="125.6"/>
        <n v="125.7"/>
        <n v="126"/>
        <n v="125.9"/>
        <n v="126.8"/>
        <n v="126.3"/>
        <n v="126.6"/>
        <n v="127.7"/>
        <n v="127.3"/>
        <n v="128.7"/>
        <n v="128.2"/>
        <n v="128.3"/>
        <n v="128.8"/>
        <n v="128"/>
        <n v="128.5"/>
        <n v="129.2"/>
        <n v="128.9"/>
        <n v="129.4"/>
        <n v="129.1"/>
        <n v="129.5"/>
        <n v="128.6"/>
        <n v="129.8"/>
        <n v="130.3"/>
        <n v="129.9"/>
        <n v="130.7"/>
        <n v="129.6"/>
        <n v="130.5"/>
        <n v="129.7"/>
        <n v="130.2"/>
        <n v="131.3"/>
        <n v="130.9"/>
        <n v="132.4"/>
        <n v="130.4"/>
        <n v="131.7"/>
        <n v="133.6"/>
        <n v="131"/>
        <n v="132.6"/>
        <n v="134.5"/>
        <n v="131.8"/>
        <n v="133.5"/>
        <n v="135.3"/>
        <n v="132.2"/>
        <n v="134.1"/>
        <n v="135.5"/>
        <n v="134.4"/>
        <n v="136"/>
        <n v="132.7"/>
        <n v="134.8"/>
        <n v="136.2"/>
        <n v="132.9"/>
        <n v="135"/>
        <n v="136.3"/>
        <n v="133.1"/>
        <n v="135.1"/>
        <n v="136.7"/>
        <n v="135.4"/>
        <n v="137.2"/>
        <n v="135.8"/>
        <n v="134.9"/>
        <n v="137.7"/>
        <n v="138.2"/>
        <n v="136.8"/>
        <n v="138.6"/>
        <n v="137.3"/>
        <n v="138.1"/>
        <n v="139"/>
        <n v="138.5"/>
        <n v="139.4"/>
        <n v="138.3"/>
        <n v="140.2"/>
        <n v="138.7"/>
        <n v="139.6"/>
        <n v="141.5"/>
        <n v="139.1"/>
        <n v="140.6"/>
        <n v="139.5"/>
        <n v="140.8"/>
        <n v="141.9"/>
        <n v="141"/>
        <n v="142"/>
        <n v="141.1"/>
        <n v="139.9"/>
        <n v="140.9"/>
        <n v="141.2"/>
        <n v="142.4"/>
        <n v="140.3"/>
        <n v="141.6"/>
        <n v="142.9"/>
        <n v="140.7"/>
        <n v="142.1"/>
        <n v="143.2"/>
        <n v="142.3"/>
        <n v="143.4"/>
        <n v="142.5"/>
        <n v="143.5"/>
        <n v="142.6"/>
        <n v="143.7"/>
        <n v="141.8"/>
        <n v="141.7"/>
        <n v="142.2"/>
        <n v="143.3"/>
        <n v="143.9"/>
        <n v="144.1"/>
        <n v="144"/>
        <n v="144.6"/>
        <n v="144.9"/>
        <n v="144.7"/>
        <n v="145.7"/>
        <n v="145.4"/>
        <n v="146.5"/>
        <n v="145.6"/>
        <n v="146.2"/>
        <n v="147.1"/>
        <n v="145.9"/>
        <n v="146.7"/>
        <n v="148.7"/>
        <n v="147.5"/>
        <n v="148.3"/>
        <n v="150.5"/>
        <n v="149.3"/>
        <n v="150.1"/>
        <n v="150.9"/>
        <n v="150.7"/>
        <n v="150.8"/>
        <n v="151.7"/>
        <n v="151.1"/>
        <n v="151.5"/>
        <n v="155.6"/>
        <n v="155.5"/>
        <n v="153.3"/>
        <n v="153.4"/>
        <n v="153.9"/>
        <n v="153.6"/>
        <n v="153.7"/>
        <n v="153.8"/>
        <n v="154"/>
        <n v="154.2"/>
        <n v="154.1"/>
        <n v="154.4"/>
        <n v="155.1"/>
        <n v="154.7"/>
        <n v="154.5"/>
        <n v="154.9"/>
        <n v="155"/>
        <n v="156"/>
        <n v="155.4"/>
        <n v="155.8"/>
        <n v="156.5"/>
        <n v="156.1"/>
        <n v="156.2"/>
        <n v="157.1"/>
        <n v="158.2"/>
        <n v="157.5"/>
        <n v="159.2"/>
        <n v="158.4"/>
        <n v="158"/>
        <n v="159.1"/>
        <n v="158.7"/>
        <n v="159.6"/>
        <n v="159.3"/>
        <n v="159.8"/>
        <n v="160"/>
        <n v="159.9"/>
        <n v="160.5"/>
        <n v="160.4"/>
        <n v="160.7"/>
        <n v="160.6"/>
        <n v="162"/>
        <n v="162.6"/>
        <n v="162.2"/>
        <n v="163.8"/>
        <n v="164.2"/>
        <n v="163.9"/>
        <n v="164.6"/>
        <n v="165.4"/>
        <n v="164.9"/>
        <n v="166.4"/>
        <n v="165.8"/>
        <n v="166.3"/>
        <n v="167.1"/>
        <n v="166.6"/>
        <n v="167.9"/>
        <n v="168.4"/>
        <n v="168.1"/>
        <n v="169.5"/>
        <n v="170.1"/>
        <n v="169.7"/>
        <n v="170.9"/>
        <n v="171"/>
        <n v="172.3"/>
        <n v="173.4"/>
        <n v="173.9"/>
        <n v="173.6"/>
        <n v="174.3"/>
        <n v="175.2"/>
        <n v="174.6"/>
        <n v="177"/>
        <n v="177.9"/>
        <n v="177.3"/>
        <n v="178.2"/>
        <n v="178.8"/>
        <n v="178.4"/>
        <n v="179.6"/>
        <n v="179.4"/>
        <n v="179.5"/>
      </sharedItems>
    </cacheField>
    <cacheField name="Oils and fats" numFmtId="0">
      <sharedItems containsSemiMixedTypes="0" containsString="0" containsNumber="1" minValue="0" maxValue="209.9" count="256">
        <n v="106.1"/>
        <n v="103.4"/>
        <n v="105.1"/>
        <n v="106.7"/>
        <n v="103.5"/>
        <n v="105.5"/>
        <n v="106.2"/>
        <n v="102.7"/>
        <n v="104.9"/>
        <n v="105.7"/>
        <n v="102.1"/>
        <n v="104.4"/>
        <n v="105.3"/>
        <n v="101.5"/>
        <n v="103.9"/>
        <n v="105.9"/>
        <n v="101.3"/>
        <n v="104.2"/>
        <n v="101.1"/>
        <n v="104.3"/>
        <n v="106.4"/>
        <n v="104.5"/>
        <n v="107.4"/>
        <n v="101.7"/>
        <n v="107.7"/>
        <n v="102.3"/>
        <n v="108.9"/>
        <n v="103.2"/>
        <n v="106.8"/>
        <n v="109.5"/>
        <n v="107.3"/>
        <n v="109"/>
        <n v="102.9"/>
        <n v="102.5"/>
        <n v="106.6"/>
        <n v="109.3"/>
        <n v="102.8"/>
        <n v="106.9"/>
        <n v="109.7"/>
        <n v="103.1"/>
        <n v="110.1"/>
        <n v="110.3"/>
        <n v="107.8"/>
        <n v="110.4"/>
        <n v="107.9"/>
        <n v="110.6"/>
        <n v="103.6"/>
        <n v="108"/>
        <n v="110.5"/>
        <n v="110.2"/>
        <n v="103"/>
        <n v="107.6"/>
        <n v="111"/>
        <n v="108.5"/>
        <n v="111.5"/>
        <n v="109.1"/>
        <n v="111.8"/>
        <n v="104.8"/>
        <n v="109.2"/>
        <n v="111.9"/>
        <n v="112.5"/>
        <n v="105.2"/>
        <n v="109.8"/>
        <n v="114.1"/>
        <n v="106"/>
        <n v="111.1"/>
        <n v="113.5"/>
        <n v="106.3"/>
        <n v="110.9"/>
        <n v="114"/>
        <n v="111.4"/>
        <n v="114.7"/>
        <n v="107"/>
        <n v="115.8"/>
        <n v="113.3"/>
        <n v="117.8"/>
        <n v="110"/>
        <n v="114.9"/>
        <n v="118.3"/>
        <n v="115.3"/>
        <n v="118.9"/>
        <n v="115.5"/>
        <n v="118.5"/>
        <n v="108.4"/>
        <n v="114.8"/>
        <n v="114.5"/>
        <n v="118.2"/>
        <n v="109.6"/>
        <n v="115"/>
        <n v="118.6"/>
        <n v="119.5"/>
        <n v="116.4"/>
        <n v="119.9"/>
        <n v="116.9"/>
        <n v="120.2"/>
        <n v="117.2"/>
        <n v="120.8"/>
        <n v="121.1"/>
        <n v="112.6"/>
        <n v="118"/>
        <n v="121.6"/>
        <n v="122"/>
        <n v="119.1"/>
        <n v="122.1"/>
        <n v="114.3"/>
        <n v="119.2"/>
        <n v="118.8"/>
        <n v="121.3"/>
        <n v="118.4"/>
        <n v="113.4"/>
        <n v="118.1"/>
        <n v="120.9"/>
        <n v="120.5"/>
        <n v="120.7"/>
        <n v="121.4"/>
        <n v="119"/>
        <n v="115.2"/>
        <n v="123.1"/>
        <n v="115.9"/>
        <n v="123.2"/>
        <n v="122.9"/>
        <n v="116.2"/>
        <n v="120.4"/>
        <n v="116.5"/>
        <n v="123.5"/>
        <n v="116.6"/>
        <n v="121"/>
        <n v="123.6"/>
        <n v="124"/>
        <n v="124.1"/>
        <n v="116.7"/>
        <n v="125"/>
        <n v="117.4"/>
        <n v="122.2"/>
        <n v="124.6"/>
        <n v="122.8"/>
        <n v="124.2"/>
        <n v="123.9"/>
        <n v="121.8"/>
        <n v="124.3"/>
        <n v="124.4"/>
        <n v="119.3"/>
        <n v="122.5"/>
        <n v="124.7"/>
        <n v="125.1"/>
        <n v="125.6"/>
        <n v="126"/>
        <n v="121.5"/>
        <n v="127.5"/>
        <n v="122.7"/>
        <n v="125.7"/>
        <n v="132"/>
        <n v="126.3"/>
        <n v="129.9"/>
        <n v="133.7"/>
        <n v="127.4"/>
        <n v="131.4"/>
        <n v="133.3"/>
        <n v="131.2"/>
        <n v="137.1"/>
        <n v="131.6"/>
        <n v="135.1"/>
        <n v="138.2"/>
        <n v="132.9"/>
        <n v="136.3"/>
        <n v="139.8"/>
        <n v="133.4"/>
        <n v="137.4"/>
        <n v="140.4"/>
        <n v="134.4"/>
        <n v="142.6"/>
        <n v="135.7"/>
        <n v="140.1"/>
        <n v="145.4"/>
        <n v="138"/>
        <n v="142.7"/>
        <n v="150"/>
        <n v="140.7"/>
        <n v="146.6"/>
        <n v="154.8"/>
        <n v="144.1"/>
        <n v="150.9"/>
        <n v="163"/>
        <n v="151.4"/>
        <n v="158.7"/>
        <n v="168.2"/>
        <n v="156.4"/>
        <n v="163.9"/>
        <n v="175.2"/>
        <n v="161.4"/>
        <n v="170.1"/>
        <n v="184.4"/>
        <n v="168.8"/>
        <n v="178.7"/>
        <n v="190.4"/>
        <n v="172.2"/>
        <n v="183.7"/>
        <n v="188.7"/>
        <n v="170.6"/>
        <n v="182.1"/>
        <n v="190.9"/>
        <n v="175"/>
        <n v="188"/>
        <n v="195.5"/>
        <n v="198.8"/>
        <n v="176.6"/>
        <n v="190.6"/>
        <n v="198.4"/>
        <n v="175.8"/>
        <n v="190.1"/>
        <n v="195.8"/>
        <n v="173.5"/>
        <n v="187.6"/>
        <n v="192.6"/>
        <n v="171"/>
        <n v="184.7"/>
        <n v="171.5"/>
        <n v="184.9"/>
        <n v="203.1"/>
        <n v="180"/>
        <n v="194.6"/>
        <n v="207.4"/>
        <n v="186"/>
        <n v="199.5"/>
        <n v="209.9"/>
        <n v="189.5"/>
        <n v="202.4"/>
        <n v="208.1"/>
        <n v="188.6"/>
        <n v="200.9"/>
        <n v="202.2"/>
        <n v="184.8"/>
        <n v="198.1"/>
        <n v="182.5"/>
        <n v="192.4"/>
        <n v="194.1"/>
        <n v="179.3"/>
        <n v="191.6"/>
        <n v="177.7"/>
        <n v="186.5"/>
        <n v="194"/>
        <n v="188.9"/>
        <n v="193.9"/>
        <n v="179.1"/>
        <n v="188.5"/>
        <n v="178"/>
        <n v="187.2"/>
        <n v="183.4"/>
        <n v="183.3"/>
        <n v="179.2"/>
        <n v="178.5"/>
        <n v="168.7"/>
        <n v="174.9"/>
        <n v="173.3"/>
        <n v="164.4"/>
        <n v="170"/>
      </sharedItems>
    </cacheField>
    <cacheField name="Fruits" numFmtId="0">
      <sharedItems containsSemiMixedTypes="0" containsString="0" containsNumber="1" minValue="0" maxValue="179.5" count="280">
        <n v="103.9"/>
        <n v="102.3"/>
        <n v="103.2"/>
        <n v="104"/>
        <n v="103.1"/>
        <n v="103.6"/>
        <n v="105.7"/>
        <n v="104.9"/>
        <n v="105.3"/>
        <n v="108.3"/>
        <n v="109.5"/>
        <n v="108.9"/>
        <n v="108.1"/>
        <n v="110.6"/>
        <n v="109.3"/>
        <n v="109.2"/>
        <n v="112.4"/>
        <n v="110.7"/>
        <n v="110.3"/>
        <n v="113.2"/>
        <n v="111.7"/>
        <n v="110.8"/>
        <n v="108.7"/>
        <n v="109.8"/>
        <n v="110.9"/>
        <n v="107.3"/>
        <n v="106.2"/>
        <n v="109.9"/>
        <n v="116.6"/>
        <n v="110"/>
        <n v="113.5"/>
        <n v="115.5"/>
        <n v="113.3"/>
        <n v="112.1"/>
        <n v="113.9"/>
        <n v="114.1"/>
        <n v="115.4"/>
        <n v="119.6"/>
        <n v="117.7"/>
        <n v="118.7"/>
        <n v="125.5"/>
        <n v="126.7"/>
        <n v="126.1"/>
        <n v="126.3"/>
        <n v="129.2"/>
        <n v="127.7"/>
        <n v="125.8"/>
        <n v="131.2"/>
        <n v="128.3"/>
        <n v="129.1"/>
        <n v="133.7"/>
        <n v="129.7"/>
        <n v="132.7"/>
        <n v="131.1"/>
        <n v="129.8"/>
        <n v="124.5"/>
        <n v="127.3"/>
        <n v="128.9"/>
        <n v="123.5"/>
        <n v="126.4"/>
        <n v="128.8"/>
        <n v="122.2"/>
        <n v="125.7"/>
        <n v="128.6"/>
        <n v="122.3"/>
        <n v="130.4"/>
        <n v="121.3"/>
        <n v="126.2"/>
        <n v="129.4"/>
        <n v="121.6"/>
        <n v="130.9"/>
        <n v="123.8"/>
        <n v="127.6"/>
        <n v="134.2"/>
        <n v="130.6"/>
        <n v="132.5"/>
        <n v="134.1"/>
        <n v="130.8"/>
        <n v="132.6"/>
        <n v="133.2"/>
        <n v="132.3"/>
        <n v="132.8"/>
        <n v="133.3"/>
        <n v="133.1"/>
        <n v="130.1"/>
        <n v="124"/>
        <n v="128.4"/>
        <n v="124.1"/>
        <n v="129"/>
        <n v="132.1"/>
        <n v="123.7"/>
        <n v="128.2"/>
        <n v="131.6"/>
        <n v="120.8"/>
        <n v="126.6"/>
        <n v="119"/>
        <n v="118.6"/>
        <n v="124.9"/>
        <n v="131.7"/>
        <n v="119.9"/>
        <n v="138.1"/>
        <n v="134.8"/>
        <n v="133.5"/>
        <n v="136"/>
        <n v="137.4"/>
        <n v="135.5"/>
        <n v="136.5"/>
        <n v="138.5"/>
        <n v="137"/>
        <n v="137.8"/>
        <n v="140.2"/>
        <n v="135.8"/>
        <n v="139.2"/>
        <n v="136.1"/>
        <n v="138.4"/>
        <n v="134.7"/>
        <n v="136.9"/>
        <n v="135.6"/>
        <n v="129.3"/>
        <n v="129.6"/>
        <n v="133"/>
        <n v="138.7"/>
        <n v="131.4"/>
        <n v="135.3"/>
        <n v="139.7"/>
        <n v="136.8"/>
        <n v="138.3"/>
        <n v="141.8"/>
        <n v="137.7"/>
        <n v="139.9"/>
        <n v="135.2"/>
        <n v="137.9"/>
        <n v="140.9"/>
        <n v="137.2"/>
        <n v="143.9"/>
        <n v="139.4"/>
        <n v="148"/>
        <n v="142.7"/>
        <n v="145.5"/>
        <n v="147.8"/>
        <n v="137.5"/>
        <n v="143"/>
        <n v="146.7"/>
        <n v="141.5"/>
        <n v="147.3"/>
        <n v="136.4"/>
        <n v="142.2"/>
        <n v="147.2"/>
        <n v="135"/>
        <n v="147.9"/>
        <n v="133.8"/>
        <n v="141.3"/>
        <n v="149.4"/>
        <n v="142.9"/>
        <n v="152.9"/>
        <n v="146.2"/>
        <n v="156.4"/>
        <n v="150.1"/>
        <n v="153.5"/>
        <n v="157.5"/>
        <n v="151.3"/>
        <n v="154.6"/>
        <n v="154.1"/>
        <n v="152.2"/>
        <n v="153.2"/>
        <n v="153.3"/>
        <n v="149.7"/>
        <n v="151.6"/>
        <n v="154.4"/>
        <n v="146.3"/>
        <n v="150.6"/>
        <n v="140"/>
        <n v="145.4"/>
        <n v="144.5"/>
        <n v="139.5"/>
        <n v="142.5"/>
        <n v="142.8"/>
        <n v="135.4"/>
        <n v="137.6"/>
        <n v="143.7"/>
        <n v="146.5"/>
        <n v="143.3"/>
        <n v="150.9"/>
        <n v="146.8"/>
        <n v="146.4"/>
        <n v="154.7"/>
        <n v="150.3"/>
        <n v="153.9"/>
        <n v="143.8"/>
        <n v="149.8"/>
        <n v="146.6"/>
        <n v="145.7"/>
        <n v="148.8"/>
        <n v="147.4"/>
        <n v="144.3"/>
        <n v="144.4"/>
        <n v="143.2"/>
        <n v="140.7"/>
        <n v="143.1"/>
        <n v="149.9"/>
        <n v="151.8"/>
        <n v="146.9"/>
        <n v="154.5"/>
        <n v="150.4"/>
        <n v="147"/>
        <n v="155.4"/>
        <n v="155.7"/>
        <n v="151.2"/>
        <n v="150.5"/>
        <n v="148.4"/>
        <n v="145.9"/>
        <n v="147.7"/>
        <n v="152.6"/>
        <n v="149.6"/>
        <n v="154"/>
        <n v="150.7"/>
        <n v="157.3"/>
        <n v="153.7"/>
        <n v="160.6"/>
        <n v="168.8"/>
        <n v="164.4"/>
        <n v="162.3"/>
        <n v="172.5"/>
        <n v="167.1"/>
        <n v="158.6"/>
        <n v="171.5"/>
        <n v="164.6"/>
        <n v="157.7"/>
        <n v="170.9"/>
        <n v="163.9"/>
        <n v="161.3"/>
        <n v="156.8"/>
        <n v="152.7"/>
        <n v="161.2"/>
        <n v="156.7"/>
        <n v="159.3"/>
        <n v="160.3"/>
        <n v="156.5"/>
        <n v="152"/>
        <n v="158.3"/>
        <n v="154.9"/>
        <n v="151.4"/>
        <n v="155.9"/>
        <n v="159.6"/>
        <n v="157.6"/>
        <n v="169.7"/>
        <n v="175.9"/>
        <n v="172.6"/>
        <n v="168"/>
        <n v="174.5"/>
        <n v="171"/>
        <n v="165.8"/>
        <n v="174.1"/>
        <n v="169.6"/>
        <n v="179.5"/>
        <n v="174.2"/>
        <n v="169.2"/>
        <n v="177.1"/>
        <n v="172.9"/>
        <n v="164.1"/>
        <n v="167.5"/>
        <n v="165.7"/>
        <n v="162.2"/>
        <n v="163.8"/>
        <n v="159.1"/>
        <n v="162.6"/>
        <n v="160.7"/>
        <n v="159.5"/>
        <n v="158"/>
        <n v="156.3"/>
        <n v="160.5"/>
        <n v="167.2"/>
        <n v="172.1"/>
        <n v="169.5"/>
        <n v="173.7"/>
        <n v="179.2"/>
        <n v="176.3"/>
        <n v="169"/>
        <n v="175.8"/>
        <n v="172.2"/>
      </sharedItems>
    </cacheField>
    <cacheField name="Vegetables" numFmtId="0">
      <sharedItems containsSemiMixedTypes="0" containsString="0" containsNumber="1" minValue="0" maxValue="245.3" count="311">
        <n v="101.9"/>
        <n v="102.9"/>
        <n v="102.2"/>
        <n v="102.4"/>
        <n v="104.9"/>
        <n v="103.2"/>
        <n v="101.4"/>
        <n v="103.8"/>
        <n v="103.4"/>
        <n v="109.7"/>
        <n v="105.5"/>
        <n v="107.3"/>
        <n v="123.7"/>
        <n v="112.9"/>
        <n v="118"/>
        <n v="143.6"/>
        <n v="126.7"/>
        <n v="129.2"/>
        <n v="160.9"/>
        <n v="140"/>
        <n v="138.9"/>
        <n v="177"/>
        <n v="151.8"/>
        <n v="154"/>
        <n v="174.3"/>
        <n v="164.9"/>
        <n v="183.5"/>
        <n v="171.2"/>
        <n v="178.1"/>
        <n v="192.8"/>
        <n v="183.1"/>
        <n v="145.7"/>
        <n v="144.8"/>
        <n v="145.4"/>
        <n v="123.9"/>
        <n v="118.9"/>
        <n v="122.2"/>
        <n v="116"/>
        <n v="111.5"/>
        <n v="114.5"/>
        <n v="117.9"/>
        <n v="113.3"/>
        <n v="116.3"/>
        <n v="120.5"/>
        <n v="121.2"/>
        <n v="120.7"/>
        <n v="127"/>
        <n v="125"/>
        <n v="129.3"/>
        <n v="137.5"/>
        <n v="132.1"/>
        <n v="150.1"/>
        <n v="172.4"/>
        <n v="157.7"/>
        <n v="161.1"/>
        <n v="181.9"/>
        <n v="168.2"/>
        <n v="158.8"/>
        <n v="168.6"/>
        <n v="162.1"/>
        <n v="155.3"/>
        <n v="159.6"/>
        <n v="156.8"/>
        <n v="152"/>
        <n v="153.2"/>
        <n v="152.4"/>
        <n v="140.3"/>
        <n v="141"/>
        <n v="140.5"/>
        <n v="132.3"/>
        <n v="134.4"/>
        <n v="133"/>
        <n v="128.2"/>
        <n v="131.8"/>
        <n v="129.4"/>
        <n v="128"/>
        <n v="131.4"/>
        <n v="127.5"/>
        <n v="130.8"/>
        <n v="128.6"/>
        <n v="128.5"/>
        <n v="135.6"/>
        <n v="130.9"/>
        <n v="135.2"/>
        <n v="146.7"/>
        <n v="139.1"/>
        <n v="140.8"/>
        <n v="153.5"/>
        <n v="145.1"/>
        <n v="153.6"/>
        <n v="165.5"/>
        <n v="157.6"/>
        <n v="158.9"/>
        <n v="168.5"/>
        <n v="162.2"/>
        <n v="165.8"/>
        <n v="160.4"/>
        <n v="155.2"/>
        <n v="164.6"/>
        <n v="158.4"/>
        <n v="145.5"/>
        <n v="149"/>
        <n v="140.1"/>
        <n v="144.1"/>
        <n v="141.5"/>
        <n v="130.3"/>
        <n v="130.7"/>
        <n v="128.1"/>
        <n v="129.8"/>
        <n v="134.1"/>
        <n v="136.8"/>
        <n v="135"/>
        <n v="141.8"/>
        <n v="151.4"/>
        <n v="152.5"/>
        <n v="173.7"/>
        <n v="159.7"/>
        <n v="158.2"/>
        <n v="179.5"/>
        <n v="165.4"/>
        <n v="156.9"/>
        <n v="163.5"/>
        <n v="159.1"/>
        <n v="149.5"/>
        <n v="152.9"/>
        <n v="150.7"/>
        <n v="149.2"/>
        <n v="155.1"/>
        <n v="151.2"/>
        <n v="142"/>
        <n v="141.9"/>
        <n v="121.1"/>
        <n v="125.3"/>
        <n v="119.8"/>
        <n v="118.7"/>
        <n v="119.4"/>
        <n v="119.1"/>
        <n v="120.2"/>
        <n v="119.5"/>
        <n v="119.7"/>
        <n v="121.5"/>
        <n v="127.1"/>
        <n v="123.4"/>
        <n v="123.8"/>
        <n v="125.6"/>
        <n v="128.8"/>
        <n v="142.2"/>
        <n v="133.3"/>
        <n v="151.5"/>
        <n v="175.1"/>
        <n v="159.5"/>
        <n v="162.9"/>
        <n v="179.8"/>
        <n v="154.5"/>
        <n v="160.7"/>
        <n v="156.6"/>
        <n v="157.1"/>
        <n v="173.2"/>
        <n v="162.6"/>
        <n v="168"/>
        <n v="185.2"/>
        <n v="173.8"/>
        <n v="161"/>
        <n v="163.2"/>
        <n v="161.7"/>
        <n v="152.1"/>
        <n v="150.5"/>
        <n v="151.6"/>
        <n v="142.4"/>
        <n v="136.9"/>
        <n v="138"/>
        <n v="134.6"/>
        <n v="135.1"/>
        <n v="127.6"/>
        <n v="132.6"/>
        <n v="137.8"/>
        <n v="143.5"/>
        <n v="144"/>
        <n v="143.7"/>
        <n v="154.2"/>
        <n v="159.2"/>
        <n v="155.9"/>
        <n v="156.3"/>
        <n v="157.3"/>
        <n v="149.4"/>
        <n v="151.3"/>
        <n v="150"/>
        <n v="147.6"/>
        <n v="153"/>
        <n v="147.5"/>
        <n v="145.2"/>
        <n v="136.6"/>
        <n v="132.4"/>
        <n v="131.7"/>
        <n v="130.5"/>
        <n v="131.3"/>
        <n v="128.7"/>
        <n v="131.6"/>
        <n v="129.7"/>
        <n v="141.2"/>
        <n v="133.4"/>
        <n v="161.6"/>
        <n v="143"/>
        <n v="140.6"/>
        <n v="169.8"/>
        <n v="180.1"/>
        <n v="160.3"/>
        <n v="156.2"/>
        <n v="189.1"/>
        <n v="167.4"/>
        <n v="163.4"/>
        <n v="192.4"/>
        <n v="178.8"/>
        <n v="207.2"/>
        <n v="188.4"/>
        <n v="191.4"/>
        <n v="215.7"/>
        <n v="199.6"/>
        <n v="209.5"/>
        <n v="231.5"/>
        <n v="217"/>
        <n v="191.5"/>
        <n v="207.8"/>
        <n v="197"/>
        <n v="165.1"/>
        <n v="181.7"/>
        <n v="170.7"/>
        <n v="152.3"/>
        <n v="167"/>
        <n v="162.7"/>
        <n v="180"/>
        <n v="148.9"/>
        <n v="156.5"/>
        <n v="171"/>
        <n v="191.9"/>
        <n v="202"/>
        <n v="186.7"/>
        <n v="200.6"/>
        <n v="226"/>
        <n v="209.2"/>
        <n v="222.2"/>
        <n v="245.3"/>
        <n v="230"/>
        <n v="225.2"/>
        <n v="240.9"/>
        <n v="230.5"/>
        <n v="187.8"/>
        <n v="206.8"/>
        <n v="194.2"/>
        <n v="149.7"/>
        <n v="180.2"/>
        <n v="160"/>
        <n v="166.1"/>
        <n v="138.4"/>
        <n v="166.5"/>
        <n v="147.9"/>
        <n v="144.7"/>
        <n v="176.2"/>
        <n v="155.4"/>
        <n v="152.8"/>
        <n v="186.4"/>
        <n v="164.2"/>
        <n v="153.9"/>
        <n v="183.3"/>
        <n v="162.3"/>
        <n v="170.4"/>
        <n v="214.4"/>
        <n v="185.3"/>
        <n v="183.9"/>
        <n v="229.1"/>
        <n v="199.2"/>
        <n v="172.3"/>
        <n v="219.5"/>
        <n v="188.3"/>
        <n v="203.6"/>
        <n v="198"/>
        <n v="169.7"/>
        <n v="155.8"/>
        <n v="166.9"/>
        <n v="190.7"/>
        <n v="166.2"/>
        <n v="203.2"/>
        <n v="174.9"/>
        <n v="167.3"/>
        <n v="211.5"/>
        <n v="182.3"/>
        <n v="208.5"/>
        <n v="182.1"/>
        <n v="173.1"/>
        <n v="213.1"/>
        <n v="176.9"/>
        <n v="220.8"/>
        <n v="191.8"/>
        <n v="184.8"/>
        <n v="228.6"/>
        <n v="199.7"/>
        <n v="171.6"/>
        <n v="205.5"/>
        <n v="150.2"/>
        <n v="178.7"/>
        <n v="159.9"/>
        <n v="142.9"/>
        <n v="175.3"/>
        <n v="140.9"/>
        <n v="175.8"/>
        <n v="152.7"/>
        <n v="175.9"/>
        <n v="142.8"/>
        <n v="179.9"/>
        <n v="148.7"/>
        <n v="185"/>
      </sharedItems>
    </cacheField>
    <cacheField name="Pulses and products" numFmtId="0">
      <sharedItems containsSemiMixedTypes="0" containsString="0" containsNumber="1" minValue="0" maxValue="191.6" count="264">
        <n v="106.1"/>
        <n v="105.8"/>
        <n v="106"/>
        <n v="105.9"/>
        <n v="104.1"/>
        <n v="105.3"/>
        <n v="105.7"/>
        <n v="103.5"/>
        <n v="105"/>
        <n v="104.6"/>
        <n v="105.2"/>
        <n v="106.8"/>
        <n v="105.4"/>
        <n v="106.3"/>
        <n v="107.1"/>
        <n v="105.1"/>
        <n v="106.4"/>
        <n v="107.4"/>
        <n v="104.7"/>
        <n v="106.5"/>
        <n v="108.1"/>
        <n v="108.3"/>
        <n v="107.3"/>
        <n v="109.1"/>
        <n v="108.2"/>
        <n v="109.5"/>
        <n v="108.7"/>
        <n v="109.6"/>
        <n v="107.5"/>
        <n v="108.9"/>
        <n v="109.8"/>
        <n v="109.3"/>
        <n v="110.2"/>
        <n v="111"/>
        <n v="111.5"/>
        <n v="112.6"/>
        <n v="111.9"/>
        <n v="112.2"/>
        <n v="112.8"/>
        <n v="112.4"/>
        <n v="113.2"/>
        <n v="113.1"/>
        <n v="114.1"/>
        <n v="115.2"/>
        <n v="114.5"/>
        <n v="115"/>
        <n v="116.9"/>
        <n v="115.6"/>
        <n v="115.5"/>
        <n v="117.4"/>
        <n v="116.1"/>
        <n v="116.2"/>
        <n v="119.3"/>
        <n v="117.2"/>
        <n v="116.3"/>
        <n v="120.1"/>
        <n v="117.6"/>
        <n v="122.9"/>
        <n v="119.1"/>
        <n v="118.8"/>
        <n v="125.1"/>
        <n v="120.9"/>
        <n v="119.9"/>
        <n v="127.2"/>
        <n v="122.4"/>
        <n v="121.5"/>
        <n v="131.3"/>
        <n v="124.8"/>
        <n v="124.3"/>
        <n v="142.6"/>
        <n v="130.5"/>
        <n v="131.9"/>
        <n v="148.1"/>
        <n v="137.4"/>
        <n v="133.8"/>
        <n v="149.5"/>
        <n v="139.1"/>
        <n v="137.9"/>
        <n v="156"/>
        <n v="144"/>
        <n v="142.1"/>
        <n v="165.4"/>
        <n v="150"/>
        <n v="154.2"/>
        <n v="187.2"/>
        <n v="165.3"/>
        <n v="160.8"/>
        <n v="191.6"/>
        <n v="171.2"/>
        <n v="162.1"/>
        <n v="190.1"/>
        <n v="171.5"/>
        <n v="163.8"/>
        <n v="184.2"/>
        <n v="170.7"/>
        <n v="162.8"/>
        <n v="176.4"/>
        <n v="167.4"/>
        <n v="161.2"/>
        <n v="170.3"/>
        <n v="164.3"/>
        <n v="162.7"/>
        <n v="176.9"/>
        <n v="167.5"/>
        <n v="166"/>
        <n v="182.8"/>
        <n v="171.7"/>
        <n v="169.2"/>
        <n v="184.4"/>
        <n v="174.3"/>
        <n v="171.8"/>
        <n v="188.4"/>
        <n v="177.4"/>
        <n v="172.2"/>
        <n v="182.3"/>
        <n v="175.6"/>
        <n v="170.4"/>
        <n v="173.6"/>
        <n v="170.2"/>
        <n v="175.7"/>
        <n v="172.1"/>
        <n v="170"/>
        <n v="174.9"/>
        <n v="167.9"/>
        <n v="168.7"/>
        <n v="161.7"/>
        <n v="155.1"/>
        <n v="159.5"/>
        <n v="156.9"/>
        <n v="143.1"/>
        <n v="152.2"/>
        <n v="148"/>
        <n v="135.8"/>
        <n v="143.9"/>
        <n v="144.5"/>
        <n v="140.9"/>
        <n v="141.8"/>
        <n v="131.5"/>
        <n v="138.3"/>
        <n v="140.2"/>
        <n v="128.2"/>
        <n v="136.2"/>
        <n v="138.1"/>
        <n v="124.7"/>
        <n v="133.6"/>
        <n v="123.5"/>
        <n v="132.7"/>
        <n v="137.1"/>
        <n v="124.5"/>
        <n v="132.9"/>
        <n v="136.4"/>
        <n v="124.1"/>
        <n v="132.3"/>
        <n v="122.2"/>
        <n v="131.2"/>
        <n v="119.8"/>
        <n v="129.1"/>
        <n v="131.8"/>
        <n v="118.4"/>
        <n v="127.3"/>
        <n v="130.2"/>
        <n v="117"/>
        <n v="125.8"/>
        <n v="129.3"/>
        <n v="124.6"/>
        <n v="128.4"/>
        <n v="114"/>
        <n v="122.3"/>
        <n v="126"/>
        <n v="112.3"/>
        <n v="121.4"/>
        <n v="126.4"/>
        <n v="121.7"/>
        <n v="126.8"/>
        <n v="113.6"/>
        <n v="125.4"/>
        <n v="113.5"/>
        <n v="121"/>
        <n v="115.3"/>
        <n v="117.5"/>
        <n v="121.3"/>
        <n v="118.2"/>
        <n v="120.3"/>
        <n v="120.7"/>
        <n v="121.8"/>
        <n v="124.4"/>
        <n v="124.9"/>
        <n v="128.7"/>
        <n v="127.4"/>
        <n v="128.3"/>
        <n v="130.6"/>
        <n v="128.9"/>
        <n v="130"/>
        <n v="129.8"/>
        <n v="130.9"/>
        <n v="132.2"/>
        <n v="130.3"/>
        <n v="131.6"/>
        <n v="133.1"/>
        <n v="132.5"/>
        <n v="134.6"/>
        <n v="135.7"/>
        <n v="138.8"/>
        <n v="137.2"/>
        <n v="141.1"/>
        <n v="140.4"/>
        <n v="139.6"/>
        <n v="139.7"/>
        <n v="150.2"/>
        <n v="150.8"/>
        <n v="150.4"/>
        <n v="150.3"/>
        <n v="152"/>
        <n v="150.9"/>
        <n v="149.9"/>
        <n v="151.3"/>
        <n v="149.3"/>
        <n v="149.8"/>
        <n v="155.9"/>
        <n v="158.7"/>
        <n v="156.8"/>
        <n v="161.5"/>
        <n v="160.2"/>
        <n v="160.4"/>
        <n v="158.3"/>
        <n v="159.8"/>
        <n v="158.8"/>
        <n v="159.2"/>
        <n v="161.1"/>
        <n v="165.1"/>
        <n v="165.9"/>
        <n v="165.5"/>
        <n v="166.9"/>
        <n v="163.6"/>
        <n v="164.7"/>
        <n v="164"/>
        <n v="164.5"/>
        <n v="164.1"/>
        <n v="163.9"/>
        <n v="165.2"/>
        <n v="164.2"/>
        <n v="164.4"/>
        <n v="163.2"/>
        <n v="163.7"/>
        <n v="163.4"/>
        <n v="165"/>
        <n v="164.6"/>
        <n v="167.1"/>
        <n v="167.3"/>
        <n v="167.2"/>
        <n v="169"/>
        <n v="169.1"/>
        <n v="169.7"/>
        <n v="169.9"/>
        <n v="169.8"/>
        <n v="171"/>
        <n v="170.5"/>
        <n v="171.3"/>
        <n v="170.8"/>
        <n v="170.9"/>
        <n v="171.1"/>
        <n v="172.8"/>
        <n v="174.7"/>
        <n v="173.4"/>
      </sharedItems>
    </cacheField>
    <cacheField name="Sugar and Confectionery" numFmtId="0">
      <sharedItems containsSemiMixedTypes="0" containsString="0" containsNumber="1" minValue="0" maxValue="124.2" count="204">
        <n v="106.8"/>
        <n v="105.1"/>
        <n v="106.2"/>
        <n v="105.7"/>
        <n v="103.8"/>
        <n v="105"/>
        <n v="102.6"/>
        <n v="104.2"/>
        <n v="102"/>
        <n v="103.5"/>
        <n v="103.7"/>
        <n v="101.9"/>
        <n v="103.1"/>
        <n v="104.1"/>
        <n v="101.4"/>
        <n v="103.2"/>
        <n v="104.3"/>
        <n v="101.3"/>
        <n v="103.3"/>
        <n v="101"/>
        <n v="100.8"/>
        <n v="103.9"/>
        <n v="100.2"/>
        <n v="102.7"/>
        <n v="103.6"/>
        <n v="99.5"/>
        <n v="102.2"/>
        <n v="102.9"/>
        <n v="98.6"/>
        <n v="101.5"/>
        <n v="101.8"/>
        <n v="96.9"/>
        <n v="101.1"/>
        <n v="95.4"/>
        <n v="99.2"/>
        <n v="101.2"/>
        <n v="96.3"/>
        <n v="99.6"/>
        <n v="100.3"/>
        <n v="102.8"/>
        <n v="104.8"/>
        <n v="104.7"/>
        <n v="104"/>
        <n v="99.8"/>
        <n v="102.1"/>
        <n v="97.8"/>
        <n v="100.6"/>
        <n v="100.5"/>
        <n v="96.1"/>
        <n v="99"/>
        <n v="100"/>
        <n v="95"/>
        <n v="98.3"/>
        <n v="98.9"/>
        <n v="93.2"/>
        <n v="97"/>
        <n v="91.6"/>
        <n v="95.7"/>
        <n v="97.6"/>
        <n v="90.8"/>
        <n v="95.3"/>
        <n v="89.8"/>
        <n v="94.1"/>
        <n v="85.7"/>
        <n v="91.3"/>
        <n v="93.1"/>
        <n v="85.3"/>
        <n v="90.5"/>
        <n v="92.5"/>
        <n v="86.3"/>
        <n v="90.4"/>
        <n v="93.7"/>
        <n v="89.4"/>
        <n v="92.3"/>
        <n v="94.5"/>
        <n v="93.3"/>
        <n v="92.7"/>
        <n v="97.7"/>
        <n v="96.7"/>
        <n v="97.4"/>
        <n v="98.7"/>
        <n v="99.1"/>
        <n v="98.8"/>
        <n v="100.4"/>
        <n v="100.9"/>
        <n v="109.1"/>
        <n v="106.4"/>
        <n v="107.5"/>
        <n v="111.1"/>
        <n v="108.7"/>
        <n v="108.8"/>
        <n v="112"/>
        <n v="109.9"/>
        <n v="110.3"/>
        <n v="113.3"/>
        <n v="111.3"/>
        <n v="112.1"/>
        <n v="114.6"/>
        <n v="112.9"/>
        <n v="113.1"/>
        <n v="115.1"/>
        <n v="113.8"/>
        <n v="113.4"/>
        <n v="115.4"/>
        <n v="114.1"/>
        <n v="115.6"/>
        <n v="115.5"/>
        <n v="114.4"/>
        <n v="114.8"/>
        <n v="117.3"/>
        <n v="116.2"/>
        <n v="119.5"/>
        <n v="116.9"/>
        <n v="120.3"/>
        <n v="118"/>
        <n v="117.4"/>
        <n v="120.8"/>
        <n v="118.5"/>
        <n v="118.6"/>
        <n v="121"/>
        <n v="119.4"/>
        <n v="118.9"/>
        <n v="120.9"/>
        <n v="119.6"/>
        <n v="120"/>
        <n v="121.5"/>
        <n v="120.5"/>
        <n v="122.1"/>
        <n v="121.2"/>
        <n v="122.4"/>
        <n v="121.4"/>
        <n v="122.6"/>
        <n v="121.8"/>
        <n v="122.5"/>
        <n v="123.9"/>
        <n v="123"/>
        <n v="121.9"/>
        <n v="120.7"/>
        <n v="118.8"/>
        <n v="117.9"/>
        <n v="117.1"/>
        <n v="114.2"/>
        <n v="116.1"/>
        <n v="115.2"/>
        <n v="110.6"/>
        <n v="113.7"/>
        <n v="111.8"/>
        <n v="105.3"/>
        <n v="109.6"/>
        <n v="112.4"/>
        <n v="108.4"/>
        <n v="114.3"/>
        <n v="113.5"/>
        <n v="114.7"/>
        <n v="112.3"/>
        <n v="112.8"/>
        <n v="111.9"/>
        <n v="111.6"/>
        <n v="112.5"/>
        <n v="111"/>
        <n v="110.4"/>
        <n v="108.3"/>
        <n v="109"/>
        <n v="109.3"/>
        <n v="111.2"/>
        <n v="110.8"/>
        <n v="111.7"/>
        <n v="112.7"/>
        <n v="114"/>
        <n v="113.2"/>
        <n v="113.6"/>
        <n v="115"/>
        <n v="112.6"/>
        <n v="119.8"/>
        <n v="116.3"/>
        <n v="116.8"/>
        <n v="116.4"/>
        <n v="115.3"/>
        <n v="118.1"/>
        <n v="114.9"/>
        <n v="117.2"/>
        <n v="115.7"/>
        <n v="112.2"/>
        <n v="115.9"/>
        <n v="113.9"/>
        <n v="114.5"/>
        <n v="120.4"/>
        <n v="119.7"/>
        <n v="119.3"/>
        <n v="121.6"/>
        <n v="123.1"/>
        <n v="120.6"/>
        <n v="121.3"/>
        <n v="118.2"/>
        <n v="119"/>
        <n v="119.1"/>
        <n v="119.9"/>
        <n v="119.2"/>
        <n v="120.2"/>
        <n v="122.2"/>
        <n v="121.1"/>
        <n v="123.4"/>
        <n v="122.7"/>
        <n v="124.2"/>
      </sharedItems>
    </cacheField>
    <cacheField name="Spices" numFmtId="0">
      <sharedItems containsSemiMixedTypes="0" containsString="0" containsNumber="1" minValue="0" maxValue="221" count="281">
        <n v="103.1"/>
        <n v="101.8"/>
        <n v="102.7"/>
        <n v="102.3"/>
        <n v="102.8"/>
        <n v="103.3"/>
        <n v="102.4"/>
        <n v="103"/>
        <n v="103.2"/>
        <n v="103.5"/>
        <n v="104"/>
        <n v="105"/>
        <n v="104.3"/>
        <n v="105.4"/>
        <n v="106.4"/>
        <n v="105.7"/>
        <n v="107.5"/>
        <n v="106.8"/>
        <n v="106.9"/>
        <n v="108.5"/>
        <n v="107.4"/>
        <n v="107.9"/>
        <n v="109.1"/>
        <n v="108.3"/>
        <n v="108.2"/>
        <n v="109.6"/>
        <n v="108.7"/>
        <n v="109"/>
        <n v="110.3"/>
        <n v="109.4"/>
        <n v="109.8"/>
        <n v="111.9"/>
        <n v="110.5"/>
        <n v="110.2"/>
        <n v="112.7"/>
        <n v="111"/>
        <n v="110.4"/>
        <n v="113.5"/>
        <n v="111.4"/>
        <n v="110.7"/>
        <n v="114.1"/>
        <n v="111.8"/>
        <n v="111.2"/>
        <n v="115.3"/>
        <n v="112.6"/>
        <n v="111.6"/>
        <n v="117"/>
        <n v="113.4"/>
        <n v="112.3"/>
        <n v="118.3"/>
        <n v="114.3"/>
        <n v="113.3"/>
        <n v="120"/>
        <n v="115.5"/>
        <n v="114.6"/>
        <n v="122.1"/>
        <n v="117.1"/>
        <n v="114.9"/>
        <n v="122.9"/>
        <n v="117.6"/>
        <n v="123.8"/>
        <n v="118.1"/>
        <n v="115.8"/>
        <n v="124.6"/>
        <n v="118.7"/>
        <n v="116"/>
        <n v="125.4"/>
        <n v="119.1"/>
        <n v="117.2"/>
        <n v="126.6"/>
        <n v="120.3"/>
        <n v="118.6"/>
        <n v="127.7"/>
        <n v="121.6"/>
        <n v="119.4"/>
        <n v="127.4"/>
        <n v="119.8"/>
        <n v="122.4"/>
        <n v="120.7"/>
        <n v="128.8"/>
        <n v="123.4"/>
        <n v="123"/>
        <n v="130.5"/>
        <n v="125.5"/>
        <n v="131.5"/>
        <n v="126.1"/>
        <n v="123.9"/>
        <n v="132.7"/>
        <n v="126.8"/>
        <n v="134.4"/>
        <n v="128.4"/>
        <n v="135.8"/>
        <n v="129.7"/>
        <n v="128.3"/>
        <n v="137.1"/>
        <n v="131.2"/>
        <n v="128.9"/>
        <n v="138.6"/>
        <n v="132.1"/>
        <n v="129.6"/>
        <n v="139.5"/>
        <n v="132.9"/>
        <n v="130.6"/>
        <n v="139.7"/>
        <n v="133.6"/>
        <n v="130.8"/>
        <n v="140.1"/>
        <n v="133.9"/>
        <n v="131.4"/>
        <n v="140.4"/>
        <n v="132.2"/>
        <n v="141.5"/>
        <n v="135.3"/>
        <n v="133.1"/>
        <n v="142.8"/>
        <n v="136.3"/>
        <n v="134.3"/>
        <n v="143.9"/>
        <n v="137.5"/>
        <n v="134.9"/>
        <n v="144.6"/>
        <n v="138.1"/>
        <n v="144.8"/>
        <n v="138.8"/>
        <n v="145.3"/>
        <n v="139.3"/>
        <n v="136.8"/>
        <n v="145.4"/>
        <n v="145.5"/>
        <n v="140.2"/>
        <n v="136.9"/>
        <n v="144.9"/>
        <n v="139.6"/>
        <n v="136"/>
        <n v="144"/>
        <n v="138.7"/>
        <n v="135.6"/>
        <n v="142.6"/>
        <n v="137.9"/>
        <n v="134.1"/>
        <n v="141.3"/>
        <n v="136.5"/>
        <n v="134"/>
        <n v="139.9"/>
        <n v="133.5"/>
        <n v="137.8"/>
        <n v="135.2"/>
        <n v="134.7"/>
        <n v="137.3"/>
        <n v="138.3"/>
        <n v="140.5"/>
        <n v="140.7"/>
        <n v="137.2"/>
        <n v="138.2"/>
        <n v="137.4"/>
        <n v="137.6"/>
        <n v="140"/>
        <n v="138.4"/>
        <n v="140.3"/>
        <n v="138.9"/>
        <n v="141.1"/>
        <n v="139.4"/>
        <n v="141.2"/>
        <n v="141"/>
        <n v="140.6"/>
        <n v="141.4"/>
        <n v="140.9"/>
        <n v="139.2"/>
        <n v="140.8"/>
        <n v="141.7"/>
        <n v="141.6"/>
        <n v="142.7"/>
        <n v="142.5"/>
        <n v="144.2"/>
        <n v="143.8"/>
        <n v="144.1"/>
        <n v="145.2"/>
        <n v="147.3"/>
        <n v="146.3"/>
        <n v="147"/>
        <n v="149.1"/>
        <n v="148"/>
        <n v="148.7"/>
        <n v="151.6"/>
        <n v="149.5"/>
        <n v="150.9"/>
        <n v="152.8"/>
        <n v="150.4"/>
        <n v="152"/>
        <n v="154"/>
        <n v="151.5"/>
        <n v="153.2"/>
        <n v="158.7"/>
        <n v="157.1"/>
        <n v="159.8"/>
        <n v="158.8"/>
        <n v="159.5"/>
        <n v="160"/>
        <n v="160.9"/>
        <n v="160.3"/>
        <n v="161.3"/>
        <n v="161"/>
        <n v="162"/>
        <n v="161.4"/>
        <n v="161.8"/>
        <n v="163.5"/>
        <n v="161.9"/>
        <n v="163"/>
        <n v="164.5"/>
        <n v="164"/>
        <n v="165"/>
        <n v="162.5"/>
        <n v="164.2"/>
        <n v="162.6"/>
        <n v="164.4"/>
        <n v="162.8"/>
        <n v="163.9"/>
        <n v="169.7"/>
        <n v="165.2"/>
        <n v="168.2"/>
        <n v="170"/>
        <n v="165.5"/>
        <n v="168.5"/>
        <n v="168.3"/>
        <n v="169.8"/>
        <n v="166.2"/>
        <n v="168.8"/>
        <n v="170.1"/>
        <n v="170.6"/>
        <n v="166.8"/>
        <n v="169.3"/>
        <n v="170.8"/>
        <n v="167.2"/>
        <n v="169.6"/>
        <n v="171.7"/>
        <n v="170.5"/>
        <n v="173.3"/>
        <n v="172.1"/>
        <n v="175.4"/>
        <n v="172.2"/>
        <n v="174.3"/>
        <n v="178.7"/>
        <n v="174.7"/>
        <n v="177.4"/>
        <n v="182.9"/>
        <n v="178"/>
        <n v="181.3"/>
        <n v="186.6"/>
        <n v="181.4"/>
        <n v="184.9"/>
        <n v="188.9"/>
        <n v="183.5"/>
        <n v="187.1"/>
        <n v="191.8"/>
        <n v="186.3"/>
        <n v="190"/>
        <n v="195.6"/>
        <n v="189.7"/>
        <n v="193.6"/>
        <n v="199.1"/>
        <n v="197.3"/>
        <n v="201.6"/>
        <n v="196.4"/>
        <n v="199.9"/>
        <n v="204.8"/>
        <n v="198.8"/>
        <n v="202.8"/>
        <n v="207.5"/>
        <n v="200.5"/>
        <n v="205.2"/>
        <n v="210.5"/>
        <n v="204.3"/>
        <n v="208.4"/>
        <n v="212.1"/>
        <n v="209.7"/>
        <n v="215.5"/>
        <n v="207.8"/>
        <n v="212.9"/>
        <n v="221"/>
        <n v="211.9"/>
        <n v="218"/>
      </sharedItems>
    </cacheField>
    <cacheField name="Non-alcoholic beverages" numFmtId="0">
      <sharedItems containsSemiMixedTypes="0" containsString="0" containsNumber="1" minValue="0" maxValue="178.7" count="267">
        <n v="104.8"/>
        <n v="105.1"/>
        <n v="104.9"/>
        <n v="106"/>
        <n v="105.5"/>
        <n v="105.6"/>
        <n v="107"/>
        <n v="106.2"/>
        <n v="106.5"/>
        <n v="108.2"/>
        <n v="107.2"/>
        <n v="107.4"/>
        <n v="109.1"/>
        <n v="108.1"/>
        <n v="110"/>
        <n v="109"/>
        <n v="110.4"/>
        <n v="109.6"/>
        <n v="109.7"/>
        <n v="110.9"/>
        <n v="110.2"/>
        <n v="111.1"/>
        <n v="110.7"/>
        <n v="111.4"/>
        <n v="111.2"/>
        <n v="111.8"/>
        <n v="112.1"/>
        <n v="112.4"/>
        <n v="112.3"/>
        <n v="112.9"/>
        <n v="112.6"/>
        <n v="113"/>
        <n v="112.2"/>
        <n v="112.7"/>
        <n v="113.5"/>
        <n v="113.2"/>
        <n v="114.2"/>
        <n v="113.7"/>
        <n v="114.9"/>
        <n v="115.6"/>
        <n v="113.8"/>
        <n v="114.8"/>
        <n v="115.8"/>
        <n v="114.4"/>
        <n v="115.2"/>
        <n v="116.5"/>
        <n v="116.8"/>
        <n v="116.1"/>
        <n v="116.4"/>
        <n v="117.3"/>
        <n v="117.9"/>
        <n v="118.8"/>
        <n v="118"/>
        <n v="118.9"/>
        <n v="117"/>
        <n v="118.1"/>
        <n v="119.4"/>
        <n v="117.2"/>
        <n v="118.5"/>
        <n v="120.2"/>
        <n v="117.7"/>
        <n v="119.2"/>
        <n v="121.1"/>
        <n v="119.8"/>
        <n v="121"/>
        <n v="118.3"/>
        <n v="119.9"/>
        <n v="121.5"/>
        <n v="120.4"/>
        <n v="121.9"/>
        <n v="119.1"/>
        <n v="120.7"/>
        <n v="122.3"/>
        <n v="123.1"/>
        <n v="121.7"/>
        <n v="123.3"/>
        <n v="122"/>
        <n v="124.3"/>
        <n v="120.5"/>
        <n v="122.7"/>
        <n v="124.8"/>
        <n v="120.6"/>
        <n v="123"/>
        <n v="124.9"/>
        <n v="125.4"/>
        <n v="123.6"/>
        <n v="126.1"/>
        <n v="124.2"/>
        <n v="126.4"/>
        <n v="121.6"/>
        <n v="124.4"/>
        <n v="127.3"/>
        <n v="125"/>
        <n v="128.1"/>
        <n v="125.5"/>
        <n v="128.8"/>
        <n v="122.1"/>
        <n v="126"/>
        <n v="128.7"/>
        <n v="122.5"/>
        <n v="126.2"/>
        <n v="129.1"/>
        <n v="126.6"/>
        <n v="129"/>
        <n v="123.2"/>
        <n v="129.4"/>
        <n v="123.4"/>
        <n v="126.9"/>
        <n v="129.8"/>
        <n v="127.2"/>
        <n v="130"/>
        <n v="123.8"/>
        <n v="127.4"/>
        <n v="130.3"/>
        <n v="127.6"/>
        <n v="130.4"/>
        <n v="127.8"/>
        <n v="131.4"/>
        <n v="128.5"/>
        <n v="131.6"/>
        <n v="124.6"/>
        <n v="131.7"/>
        <n v="131.3"/>
        <n v="125.1"/>
        <n v="131.9"/>
        <n v="129.2"/>
        <n v="131.1"/>
        <n v="125.7"/>
        <n v="131.2"/>
        <n v="125.9"/>
        <n v="130.5"/>
        <n v="128.6"/>
        <n v="126.5"/>
        <n v="129.6"/>
        <n v="132.2"/>
        <n v="129.9"/>
        <n v="132.8"/>
        <n v="126.7"/>
        <n v="126.8"/>
        <n v="133.8"/>
        <n v="133.1"/>
        <n v="127.7"/>
        <n v="130.8"/>
        <n v="134.6"/>
        <n v="133.6"/>
        <n v="137.5"/>
        <n v="128"/>
        <n v="133.5"/>
        <n v="137.8"/>
        <n v="137"/>
        <n v="133.3"/>
        <n v="137.4"/>
        <n v="128.3"/>
        <n v="133.7"/>
        <n v="137.7"/>
        <n v="128.9"/>
        <n v="134"/>
        <n v="138"/>
        <n v="134.2"/>
        <n v="138.5"/>
        <n v="129.5"/>
        <n v="134.7"/>
        <n v="134.9"/>
        <n v="135"/>
        <n v="138.6"/>
        <n v="130.2"/>
        <n v="135.1"/>
        <n v="138.7"/>
        <n v="135.3"/>
        <n v="139.3"/>
        <n v="135.8"/>
        <n v="139.7"/>
        <n v="136.1"/>
        <n v="140.1"/>
        <n v="131.5"/>
        <n v="136.5"/>
        <n v="136.7"/>
        <n v="139.2"/>
        <n v="136.8"/>
        <n v="142.1"/>
        <n v="135.6"/>
        <n v="139.4"/>
        <n v="143.5"/>
        <n v="140.6"/>
        <n v="145.4"/>
        <n v="142.2"/>
        <n v="147.4"/>
        <n v="144"/>
        <n v="150"/>
        <n v="141.5"/>
        <n v="146.5"/>
        <n v="153.4"/>
        <n v="143.3"/>
        <n v="149.2"/>
        <n v="156.1"/>
        <n v="145.9"/>
        <n v="151.8"/>
        <n v="160"/>
        <n v="155.5"/>
        <n v="160.6"/>
        <n v="150.7"/>
        <n v="156.5"/>
        <n v="161.9"/>
        <n v="151.5"/>
        <n v="157.6"/>
        <n v="164.6"/>
        <n v="152"/>
        <n v="159.3"/>
        <n v="165.5"/>
        <n v="152.3"/>
        <n v="166.2"/>
        <n v="160.9"/>
        <n v="167.6"/>
        <n v="154.8"/>
        <n v="162.7"/>
        <n v="168.3"/>
        <n v="168.8"/>
        <n v="155.4"/>
        <n v="163.2"/>
        <n v="169.1"/>
        <n v="163.7"/>
        <n v="169.7"/>
        <n v="164.2"/>
        <n v="169.8"/>
        <n v="156.6"/>
        <n v="164.3"/>
        <n v="170.5"/>
        <n v="156.7"/>
        <n v="164.7"/>
        <n v="171.2"/>
        <n v="157.1"/>
        <n v="165.3"/>
        <n v="172.4"/>
        <n v="157.5"/>
        <n v="173.2"/>
        <n v="158.5"/>
        <n v="167.1"/>
        <n v="174.2"/>
        <n v="159.1"/>
        <n v="167.9"/>
        <n v="174.5"/>
        <n v="159.8"/>
        <n v="168.4"/>
        <n v="174.8"/>
        <n v="160.5"/>
        <n v="175.4"/>
        <n v="161.1"/>
        <n v="169.4"/>
        <n v="175.8"/>
        <n v="161.6"/>
        <n v="169.9"/>
        <n v="176.4"/>
        <n v="162.1"/>
        <n v="170.4"/>
        <n v="176.8"/>
        <n v="162.8"/>
        <n v="171"/>
        <n v="176.9"/>
        <n v="171.4"/>
        <n v="177.6"/>
        <n v="164.9"/>
        <n v="172.3"/>
        <n v="178.2"/>
        <n v="172.9"/>
        <n v="178.7"/>
        <n v="165.9"/>
        <n v="173.4"/>
      </sharedItems>
    </cacheField>
    <cacheField name="Prepared meals, snacks, sweets etc." numFmtId="0">
      <sharedItems containsSemiMixedTypes="0" containsString="0" containsNumber="1" minValue="0" maxValue="197.7" count="308">
        <n v="106.7"/>
        <n v="107.9"/>
        <n v="107.3"/>
        <n v="107.7"/>
        <n v="109"/>
        <n v="108.3"/>
        <n v="108.2"/>
        <n v="109.8"/>
        <n v="108.9"/>
        <n v="108.8"/>
        <n v="110.6"/>
        <n v="109.6"/>
        <n v="109.9"/>
        <n v="111.3"/>
        <n v="110.5"/>
        <n v="111"/>
        <n v="112.2"/>
        <n v="111.6"/>
        <n v="112.1"/>
        <n v="113.1"/>
        <n v="112.6"/>
        <n v="114.3"/>
        <n v="113.4"/>
        <n v="114"/>
        <n v="115.4"/>
        <n v="114.6"/>
        <n v="114.9"/>
        <n v="116"/>
        <n v="117.1"/>
        <n v="116.5"/>
        <n v="116.8"/>
        <n v="118.1"/>
        <n v="117.4"/>
        <n v="117.3"/>
        <n v="119"/>
        <n v="117.8"/>
        <n v="119.9"/>
        <n v="118.8"/>
        <n v="118.3"/>
        <n v="120.5"/>
        <n v="119.3"/>
        <n v="118.7"/>
        <n v="121"/>
        <n v="119.8"/>
        <n v="119.2"/>
        <n v="121.7"/>
        <n v="120.4"/>
        <n v="120.1"/>
        <n v="122.4"/>
        <n v="121.2"/>
        <n v="120.9"/>
        <n v="123.4"/>
        <n v="122.1"/>
        <n v="124.7"/>
        <n v="123.1"/>
        <n v="122.6"/>
        <n v="125.2"/>
        <n v="123.8"/>
        <n v="123.2"/>
        <n v="125.9"/>
        <n v="124.5"/>
        <n v="126.9"/>
        <n v="125.6"/>
        <n v="124.8"/>
        <n v="127.6"/>
        <n v="126.1"/>
        <n v="128"/>
        <n v="126.7"/>
        <n v="126.8"/>
        <n v="128.6"/>
        <n v="127.7"/>
        <n v="129.2"/>
        <n v="128.4"/>
        <n v="128.7"/>
        <n v="129.5"/>
        <n v="129.1"/>
        <n v="129.8"/>
        <n v="129.9"/>
        <n v="131.2"/>
        <n v="130.5"/>
        <n v="130.9"/>
        <n v="131.7"/>
        <n v="131.1"/>
        <n v="131.4"/>
        <n v="132.5"/>
        <n v="132.1"/>
        <n v="132.7"/>
        <n v="132.3"/>
        <n v="133.1"/>
        <n v="132.9"/>
        <n v="133"/>
        <n v="134.2"/>
        <n v="133.7"/>
        <n v="134"/>
        <n v="135.1"/>
        <n v="134.7"/>
        <n v="135.9"/>
        <n v="135.3"/>
        <n v="136.4"/>
        <n v="135.2"/>
        <n v="135.8"/>
        <n v="137"/>
        <n v="135.4"/>
        <n v="136.3"/>
        <n v="137.4"/>
        <n v="136.7"/>
        <n v="138.3"/>
        <n v="139.2"/>
        <n v="136.9"/>
        <n v="138.1"/>
        <n v="139.9"/>
        <n v="137.5"/>
        <n v="138.8"/>
        <n v="140.7"/>
        <n v="139.5"/>
        <n v="141.5"/>
        <n v="140.2"/>
        <n v="142.4"/>
        <n v="139.6"/>
        <n v="141.1"/>
        <n v="143.1"/>
        <n v="140.3"/>
        <n v="141.8"/>
        <n v="143.6"/>
        <n v="140.9"/>
        <n v="142.3"/>
        <n v="143.9"/>
        <n v="141.6"/>
        <n v="142.8"/>
        <n v="144.4"/>
        <n v="141.9"/>
        <n v="143.2"/>
        <n v="145.4"/>
        <n v="144"/>
        <n v="145.5"/>
        <n v="142.6"/>
        <n v="144.2"/>
        <n v="145.8"/>
        <n v="142.9"/>
        <n v="144.5"/>
        <n v="146.5"/>
        <n v="144.9"/>
        <n v="147.7"/>
        <n v="143.7"/>
        <n v="148.7"/>
        <n v="146.8"/>
        <n v="149.3"/>
        <n v="145"/>
        <n v="147.3"/>
        <n v="150.3"/>
        <n v="148.1"/>
        <n v="151.4"/>
        <n v="146"/>
        <n v="148.9"/>
        <n v="146.3"/>
        <n v="149"/>
        <n v="151.8"/>
        <n v="149.5"/>
        <n v="151.7"/>
        <n v="147.1"/>
        <n v="149.6"/>
        <n v="152.8"/>
        <n v="147.6"/>
        <n v="150.4"/>
        <n v="153.8"/>
        <n v="148.3"/>
        <n v="151.2"/>
        <n v="154.3"/>
        <n v="154.8"/>
        <n v="149.4"/>
        <n v="152.3"/>
        <n v="155.2"/>
        <n v="153"/>
        <n v="155.9"/>
        <n v="151.3"/>
        <n v="152"/>
        <n v="154.5"/>
        <n v="156.1"/>
        <n v="152.6"/>
        <n v="156"/>
        <n v="152.9"/>
        <n v="154.6"/>
        <n v="155.8"/>
        <n v="153.2"/>
        <n v="156.2"/>
        <n v="153.5"/>
        <n v="154.9"/>
        <n v="156.4"/>
        <n v="153.9"/>
        <n v="155.5"/>
        <n v="156.6"/>
        <n v="155.1"/>
        <n v="156.7"/>
        <n v="155.6"/>
        <n v="156.9"/>
        <n v="157.2"/>
        <n v="156.8"/>
        <n v="157.4"/>
        <n v="157.1"/>
        <n v="157.7"/>
        <n v="157.5"/>
        <n v="158.3"/>
        <n v="158"/>
        <n v="158.7"/>
        <n v="158.5"/>
        <n v="158.6"/>
        <n v="159.2"/>
        <n v="159"/>
        <n v="159.1"/>
        <n v="160"/>
        <n v="159.6"/>
        <n v="159.4"/>
        <n v="159.5"/>
        <n v="161.8"/>
        <n v="161.7"/>
        <n v="161.5"/>
        <n v="163.3"/>
        <n v="162.3"/>
        <n v="161.6"/>
        <n v="164.4"/>
        <n v="162.9"/>
        <n v="161.9"/>
        <n v="164.8"/>
        <n v="163.2"/>
        <n v="162.7"/>
        <n v="165.1"/>
        <n v="163.8"/>
        <n v="163.6"/>
        <n v="166.1"/>
        <n v="164.3"/>
        <n v="167.2"/>
        <n v="165.6"/>
        <n v="165.8"/>
        <n v="169.4"/>
        <n v="167.5"/>
        <n v="166.4"/>
        <n v="170.3"/>
        <n v="168.2"/>
        <n v="166.8"/>
        <n v="171.4"/>
        <n v="168.9"/>
        <n v="169.8"/>
        <n v="171.1"/>
        <n v="170.4"/>
        <n v="171.7"/>
        <n v="173.3"/>
        <n v="172.4"/>
        <n v="171"/>
        <n v="173.5"/>
        <n v="172.2"/>
        <n v="171.9"/>
        <n v="175.1"/>
        <n v="173.9"/>
        <n v="172.8"/>
        <n v="173.6"/>
        <n v="175.9"/>
        <n v="174.7"/>
        <n v="174.3"/>
        <n v="176.8"/>
        <n v="175.5"/>
        <n v="178.2"/>
        <n v="176.5"/>
        <n v="175.8"/>
        <n v="179"/>
        <n v="177.3"/>
        <n v="176.3"/>
        <n v="180"/>
        <n v="178"/>
        <n v="177.4"/>
        <n v="181.5"/>
        <n v="179.3"/>
        <n v="178.9"/>
        <n v="183.3"/>
        <n v="180.9"/>
        <n v="180.4"/>
        <n v="184.9"/>
        <n v="182.5"/>
        <n v="181.9"/>
        <n v="186.3"/>
        <n v="183.9"/>
        <n v="183.1"/>
        <n v="187.7"/>
        <n v="185.2"/>
        <n v="184"/>
        <n v="188.9"/>
        <n v="184.8"/>
        <n v="190.4"/>
        <n v="187.4"/>
        <n v="185.6"/>
        <n v="191.5"/>
        <n v="188.3"/>
        <n v="186.9"/>
        <n v="192.4"/>
        <n v="189.5"/>
        <n v="193.3"/>
        <n v="190.3"/>
        <n v="188.5"/>
        <n v="194.3"/>
        <n v="191.2"/>
        <n v="189.9"/>
        <n v="196.6"/>
        <n v="193"/>
        <n v="190.5"/>
        <n v="197"/>
        <n v="193.5"/>
        <n v="191.1"/>
        <n v="197.7"/>
        <n v="194.2"/>
      </sharedItems>
    </cacheField>
    <cacheField name="Food and beverages" numFmtId="0">
      <sharedItems containsSemiMixedTypes="0" containsString="0" containsNumber="1" minValue="0" maxValue="183.3" count="276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2"/>
        <n v="129.8"/>
        <n v="131.1"/>
        <n v="130.3"/>
        <n v="131"/>
        <n v="131.5"/>
        <n v="131.2"/>
        <n v="131.8"/>
        <n v="132.6"/>
        <n v="132.1"/>
        <n v="132.4"/>
        <n v="133.3"/>
        <n v="132.7"/>
        <n v="131.4"/>
        <n v="131.3"/>
        <n v="129.1"/>
        <n v="129.9"/>
        <n v="130.4"/>
        <n v="133.6"/>
        <n v="134.6"/>
        <n v="134"/>
        <n v="136"/>
        <n v="138.2"/>
        <n v="136.8"/>
        <n v="137.6"/>
        <n v="139.8"/>
        <n v="138.4"/>
        <n v="138"/>
        <n v="137.9"/>
        <n v="137.2"/>
        <n v="135.7"/>
        <n v="136.6"/>
        <n v="137.4"/>
        <n v="136.3"/>
        <n v="137"/>
        <n v="135.2"/>
        <n v="136.1"/>
        <n v="134.7"/>
        <n v="132.8"/>
        <n v="133.7"/>
        <n v="132"/>
        <n v="133.1"/>
        <n v="133"/>
        <n v="133.4"/>
        <n v="133.5"/>
        <n v="133.8"/>
        <n v="134.9"/>
        <n v="138.5"/>
        <n v="139"/>
        <n v="140.6"/>
        <n v="140.5"/>
        <n v="139.6"/>
        <n v="140.4"/>
        <n v="139.7"/>
        <n v="140.1"/>
        <n v="142.4"/>
        <n v="141.5"/>
        <n v="142.1"/>
        <n v="138.8"/>
        <n v="139.2"/>
        <n v="138.7"/>
        <n v="135.6"/>
        <n v="138.6"/>
        <n v="134.8"/>
        <n v="137.5"/>
        <n v="139.1"/>
        <n v="136.4"/>
        <n v="138.1"/>
        <n v="140"/>
        <n v="139.4"/>
        <n v="142"/>
        <n v="140.3"/>
        <n v="141.4"/>
        <n v="142.7"/>
        <n v="141.7"/>
        <n v="141.3"/>
        <n v="138.9"/>
        <n v="140.2"/>
        <n v="137.3"/>
        <n v="143.8"/>
        <n v="140.9"/>
        <n v="141"/>
        <n v="145.6"/>
        <n v="143"/>
        <n v="147.7"/>
        <n v="144.7"/>
        <n v="144"/>
        <n v="149.1"/>
        <n v="145.9"/>
        <n v="145.5"/>
        <n v="149.5"/>
        <n v="147"/>
        <n v="148.3"/>
        <n v="151.9"/>
        <n v="149.6"/>
        <n v="150.9"/>
        <n v="153.6"/>
        <n v="154.3"/>
        <n v="156.3"/>
        <n v="155"/>
        <n v="153"/>
        <n v="154.4"/>
        <n v="153.5"/>
        <n v="149.8"/>
        <n v="151.7"/>
        <n v="150.5"/>
        <n v="148.2"/>
        <n v="150.1"/>
        <n v="148.9"/>
        <n v="151.4"/>
        <n v="152.3"/>
        <n v="157"/>
        <n v="154"/>
        <n v="155.3"/>
        <n v="159.9"/>
        <n v="156.1"/>
        <n v="161.3"/>
        <n v="158"/>
        <n v="159.6"/>
        <n v="164.4"/>
        <n v="161.4"/>
        <n v="163.4"/>
        <n v="167"/>
        <n v="164.7"/>
        <n v="164.5"/>
        <n v="165.4"/>
        <n v="161"/>
        <n v="154.7"/>
        <n v="160.8"/>
        <n v="156.9"/>
        <n v="154.5"/>
        <n v="160.4"/>
        <n v="156.7"/>
        <n v="155.6"/>
        <n v="162"/>
        <n v="158.7"/>
        <n v="164.2"/>
        <n v="160.7"/>
        <n v="160.5"/>
        <n v="166.2"/>
        <n v="162.6"/>
        <n v="161.7"/>
        <n v="167.9"/>
        <n v="164"/>
        <n v="161.8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</sharedItems>
    </cacheField>
    <cacheField name="Food" numFmtId="0">
      <sharedItems containsSemiMixedTypes="0" containsString="0" containsNumber="1" minValue="0" maxValue="2335.1" count="355">
        <n v="1371.7"/>
        <n v="1376.4"/>
        <n v="1373.3"/>
        <n v="1380.4"/>
        <n v="1390.6"/>
        <n v="1384.2"/>
        <n v="1382.2"/>
        <n v="1386.8"/>
        <n v="1384"/>
        <n v="1385.8"/>
        <n v="1397.7"/>
        <n v="1390.2"/>
        <n v="1394"/>
        <n v="1417.2"/>
        <n v="1402.2"/>
        <n v="1420"/>
        <n v="1464.6"/>
        <n v="1436"/>
        <n v="1445.9"/>
        <n v="1489.4"/>
        <n v="1461.4"/>
        <n v="1462.5"/>
        <n v="1506.1"/>
        <n v="1477.4"/>
        <n v="1488.5"/>
        <n v="1500.4"/>
        <n v="1491.7"/>
        <n v="1508"/>
        <n v="1517.2"/>
        <n v="1510.2"/>
        <n v="1536.8"/>
        <n v="1544.6"/>
        <n v="1538.8"/>
        <n v="1509"/>
        <n v="1504.4"/>
        <n v="1507.3"/>
        <n v="1486.6"/>
        <n v="1484.3"/>
        <n v="1485.8"/>
        <n v="1482.2"/>
        <n v="1476"/>
        <n v="1480.1"/>
        <n v="1491.4"/>
        <n v="1483"/>
        <n v="1488.3"/>
        <n v="1504.1"/>
        <n v="1504"/>
        <n v="1513.9"/>
        <n v="1525.3"/>
        <n v="1518.5"/>
        <n v="1525.7"/>
        <n v="1547"/>
        <n v="1533.7"/>
        <n v="1563.2"/>
        <n v="1599.5"/>
        <n v="1576.3"/>
        <n v="1582.3"/>
        <n v="1617"/>
        <n v="1594.5"/>
        <n v="1583.2"/>
        <n v="1593.7"/>
        <n v="1586.1"/>
        <n v="1581.2"/>
        <n v="1587.5"/>
        <n v="1582.7"/>
        <n v="1582"/>
        <n v="1587.8"/>
        <n v="1569.6"/>
        <n v="1577.2"/>
        <n v="1571.7"/>
        <n v="1568.1"/>
        <n v="1574.9"/>
        <n v="1569.3"/>
        <n v="1570.6"/>
        <n v="1571.1"/>
        <n v="1569.4"/>
        <n v="1571.5"/>
        <n v="1568"/>
        <n v="1569.1"/>
        <n v="1576.1"/>
        <n v="1575.7"/>
        <n v="1587.7"/>
        <n v="1598.9"/>
        <n v="1590.4"/>
        <n v="1617.9"/>
        <n v="1636.6"/>
        <n v="1623.5"/>
        <n v="1625.3"/>
        <n v="1642.9"/>
        <n v="1630.6"/>
        <n v="1646.6"/>
        <n v="1658.9"/>
        <n v="1649.6"/>
        <n v="1657.6"/>
        <n v="1664.8"/>
        <n v="1658.3"/>
        <n v="1674.6"/>
        <n v="1692.8"/>
        <n v="1679"/>
        <n v="1686.3"/>
        <n v="1708.5"/>
        <n v="1692.1"/>
        <n v="1682.3"/>
        <n v="1698.8"/>
        <n v="1686.1"/>
        <n v="1690.1"/>
        <n v="1701.4"/>
        <n v="1691.7"/>
        <n v="1682.6"/>
        <n v="1676.1"/>
        <n v="1678.1"/>
        <n v="1682.7"/>
        <n v="1667.6"/>
        <n v="1675.2"/>
        <n v="1701.6"/>
        <n v="1706.3"/>
        <n v="1701.3"/>
        <n v="1723.7"/>
        <n v="1746.8"/>
        <n v="1730.4"/>
        <n v="1748.6"/>
        <n v="1787"/>
        <n v="1760.6"/>
        <n v="1770.3"/>
        <n v="1811.5"/>
        <n v="1783.5"/>
        <n v="1777.5"/>
        <n v="1784"/>
        <n v="1777.9"/>
        <n v="1770.7"/>
        <n v="1756.4"/>
        <n v="1763.7"/>
        <n v="1771.8"/>
        <n v="1762.9"/>
        <n v="1766.8"/>
        <n v="1764.6"/>
        <n v="1755.2"/>
        <n v="1759.8"/>
        <n v="1749.1"/>
        <n v="1729.8"/>
        <n v="1740.7"/>
        <n v="1737.3"/>
        <n v="1713.2"/>
        <n v="1727.3"/>
        <n v="1734.5"/>
        <n v="1705.3"/>
        <n v="1722.3"/>
        <n v="1728.5"/>
        <n v="1705.7"/>
        <n v="1718.9"/>
        <n v="1726.3"/>
        <n v="1708.1"/>
        <n v="1718.4"/>
        <n v="1727.5"/>
        <n v="1709.6"/>
        <n v="1719.6"/>
        <n v="1738.8"/>
        <n v="1731"/>
        <n v="1734.7"/>
        <n v="1772.9"/>
        <n v="1768.1"/>
        <n v="1769.4"/>
        <n v="1792.5"/>
        <n v="1773"/>
        <n v="1783.8"/>
        <n v="1784.3"/>
        <n v="1749.7"/>
        <n v="1770"/>
        <n v="1790.9"/>
        <n v="1765.7"/>
        <n v="1779.7"/>
        <n v="1817.7"/>
        <n v="1796.7"/>
        <n v="1808.2"/>
        <n v="1813.6"/>
        <n v="1767.5"/>
        <n v="1795"/>
        <n v="1800.7"/>
        <n v="1748.3"/>
        <n v="1779.9"/>
        <n v="1781.5"/>
        <n v="1727.9"/>
        <n v="1760.4"/>
        <n v="1782"/>
        <n v="1715.5"/>
        <n v="1756"/>
        <n v="1780"/>
        <n v="1720"/>
        <n v="1757.1"/>
        <n v="1782.4"/>
        <n v="1722.9"/>
        <n v="1790.3"/>
        <n v="1747.3"/>
        <n v="1774.1"/>
        <n v="1810.5"/>
        <n v="1771.1"/>
        <n v="1795.3"/>
        <n v="1818.8"/>
        <n v="1767.6"/>
        <n v="1798.7"/>
        <n v="1799.8"/>
        <n v="1748.4"/>
        <n v="1779.5"/>
        <n v="1782.2"/>
        <n v="1754.1"/>
        <n v="1776.2"/>
        <n v="1787.5"/>
        <n v="1757.5"/>
        <n v="1775.7"/>
        <n v="1773.1"/>
        <n v="1746.6"/>
        <n v="1762.8"/>
        <n v="1759.6"/>
        <n v="1744.3"/>
        <n v="1753.4"/>
        <n v="1754.4"/>
        <n v="1761.2"/>
        <n v="1768.4"/>
        <n v="1782.1"/>
        <n v="1791.9"/>
        <n v="1804.2"/>
        <n v="1833.3"/>
        <n v="1814.1"/>
        <n v="1826.9"/>
        <n v="1857.4"/>
        <n v="1837.5"/>
        <n v="1834.5"/>
        <n v="1869.1"/>
        <n v="1846.5"/>
        <n v="1848.7"/>
        <n v="1874.9"/>
        <n v="1857.7"/>
        <n v="1876.9"/>
        <n v="1902.6"/>
        <n v="1885.6"/>
        <n v="1904.6"/>
        <n v="1924"/>
        <n v="1910.9"/>
        <n v="1941"/>
        <n v="1956.7"/>
        <n v="1946.1"/>
        <n v="1938.6"/>
        <n v="1945.4"/>
        <n v="1940.4"/>
        <n v="1909.8"/>
        <n v="1916.6"/>
        <n v="1911.6"/>
        <n v="1894.6"/>
        <n v="1898.5"/>
        <n v="1895.4"/>
        <n v="1941.5"/>
        <n v="1963.3"/>
        <n v="1949.3"/>
        <n v="1951"/>
        <n v="1995"/>
        <n v="1966.8"/>
        <n v="1978.6"/>
        <n v="2024.9"/>
        <n v="1995.2"/>
        <n v="1987.4"/>
        <n v="2041.6"/>
        <n v="2007"/>
        <n v="2030.9"/>
        <n v="2080.2"/>
        <n v="2048.6"/>
        <n v="2082.4"/>
        <n v="2120.7"/>
        <n v="2095.6"/>
        <n v="2100.5"/>
        <n v="2125.4"/>
        <n v="2109.1"/>
        <n v="2065.7"/>
        <n v="2097"/>
        <n v="2076.5"/>
        <n v="2025.3"/>
        <n v="2066"/>
        <n v="2039.3"/>
        <n v="2025.7"/>
        <n v="2064.5"/>
        <n v="2039.4"/>
        <n v="2049.5"/>
        <n v="2089.6"/>
        <n v="2064.1"/>
        <n v="2095.3"/>
        <n v="2124.7"/>
        <n v="2105.7"/>
        <n v="2122.6"/>
        <n v="2154.2"/>
        <n v="2133.9"/>
        <n v="2132.4"/>
        <n v="2171.8"/>
        <n v="2147"/>
        <n v="2130.8"/>
        <n v="2157.9"/>
        <n v="2142"/>
        <n v="2133.6"/>
        <n v="2164.2"/>
        <n v="2198.4"/>
        <n v="2175.5"/>
        <n v="2182"/>
        <n v="2217.9"/>
        <n v="2194.1"/>
        <n v="2168.2"/>
        <n v="2206.3"/>
        <n v="2180.9"/>
        <n v="2153"/>
        <n v="2186.7"/>
        <n v="2150.4"/>
        <n v="2183.5"/>
        <n v="2161.2"/>
        <n v="2179.1"/>
        <n v="2196.3"/>
        <n v="2184.2"/>
        <n v="2206.6"/>
        <n v="2230.4"/>
        <n v="2214.3"/>
        <n v="2226.8"/>
        <n v="2262.2"/>
        <n v="2238.9"/>
        <n v="2248.3"/>
        <n v="2287.5"/>
        <n v="2261.9"/>
        <n v="2252.5"/>
        <n v="2291.6"/>
        <n v="2266.3"/>
        <n v="2255.8"/>
        <n v="2293.7"/>
        <n v="2269.2"/>
        <n v="2267.8"/>
        <n v="2306.4"/>
        <n v="2280.9"/>
        <n v="2284.5"/>
        <n v="2322.3"/>
        <n v="2297.3"/>
        <n v="2287.7"/>
        <n v="2314.4"/>
        <n v="2296.8"/>
        <n v="2277.1"/>
        <n v="2295.8"/>
        <n v="2283.4"/>
        <n v="2283.2"/>
        <n v="2310.2"/>
        <n v="2292.7"/>
        <n v="2265.7"/>
        <n v="2303.2"/>
        <n v="2279.1"/>
        <n v="2265.8"/>
        <n v="2303.4"/>
        <n v="2279.2"/>
        <n v="2274.2"/>
        <n v="2317.7"/>
        <n v="2289.6"/>
        <n v="2290.7"/>
        <n v="2335.1"/>
        <n v="2306.9"/>
      </sharedItems>
    </cacheField>
    <cacheField name="Pan, tobacco and intoxicants" numFmtId="0">
      <sharedItems containsSemiMixedTypes="0" containsString="0" containsNumber="1" minValue="0" maxValue="204.2" count="310">
        <n v="105.1"/>
        <n v="105.2"/>
        <n v="105.6"/>
        <n v="106"/>
        <n v="105.7"/>
        <n v="106.5"/>
        <n v="106.8"/>
        <n v="106.6"/>
        <n v="107.1"/>
        <n v="108.5"/>
        <n v="107.5"/>
        <n v="108.1"/>
        <n v="109.8"/>
        <n v="108.6"/>
        <n v="109"/>
        <n v="110.9"/>
        <n v="109.5"/>
        <n v="111.7"/>
        <n v="110.3"/>
        <n v="110.7"/>
        <n v="112.4"/>
        <n v="111.2"/>
        <n v="112.9"/>
        <n v="112"/>
        <n v="112.2"/>
        <n v="113.5"/>
        <n v="112.5"/>
        <n v="112.8"/>
        <n v="114.1"/>
        <n v="113.1"/>
        <n v="113.6"/>
        <n v="115"/>
        <n v="114"/>
        <n v="115.7"/>
        <n v="114.5"/>
        <n v="114.2"/>
        <n v="116.2"/>
        <n v="114.7"/>
        <n v="114.6"/>
        <n v="116.7"/>
        <n v="115.2"/>
        <n v="115.4"/>
        <n v="117.6"/>
        <n v="116"/>
        <n v="116.3"/>
        <n v="118.3"/>
        <n v="116.8"/>
        <n v="117.3"/>
        <n v="119"/>
        <n v="117.8"/>
        <n v="118"/>
        <n v="121"/>
        <n v="118.8"/>
        <n v="123"/>
        <n v="119.9"/>
        <n v="119.5"/>
        <n v="124.3"/>
        <n v="120.8"/>
        <n v="120"/>
        <n v="121.1"/>
        <n v="125.8"/>
        <n v="122.1"/>
        <n v="121.7"/>
        <n v="126.4"/>
        <n v="122.7"/>
        <n v="127.4"/>
        <n v="124"/>
        <n v="124.2"/>
        <n v="128.1"/>
        <n v="125.2"/>
        <n v="124.7"/>
        <n v="128.8"/>
        <n v="125.7"/>
        <n v="130.1"/>
        <n v="126.9"/>
        <n v="126.7"/>
        <n v="131.3"/>
        <n v="127.9"/>
        <n v="128.2"/>
        <n v="132.1"/>
        <n v="129.2"/>
        <n v="129.4"/>
        <n v="133.1"/>
        <n v="130.4"/>
        <n v="134.2"/>
        <n v="131.2"/>
        <n v="131"/>
        <n v="134.7"/>
        <n v="132"/>
        <n v="131.5"/>
        <n v="135.3"/>
        <n v="132.5"/>
        <n v="132.2"/>
        <n v="137.6"/>
        <n v="133.6"/>
        <n v="138.2"/>
        <n v="134.5"/>
        <n v="139.5"/>
        <n v="135.2"/>
        <n v="134.4"/>
        <n v="140"/>
        <n v="135.9"/>
        <n v="135"/>
        <n v="140.6"/>
        <n v="136.5"/>
        <n v="135.5"/>
        <n v="141.5"/>
        <n v="137.1"/>
        <n v="136"/>
        <n v="142.2"/>
        <n v="137.7"/>
        <n v="137.2"/>
        <n v="142.7"/>
        <n v="138.7"/>
        <n v="138"/>
        <n v="142.9"/>
        <n v="139.3"/>
        <n v="138.9"/>
        <n v="143.6"/>
        <n v="140.2"/>
        <n v="139.9"/>
        <n v="143.9"/>
        <n v="141"/>
        <n v="140.9"/>
        <n v="144.3"/>
        <n v="141.8"/>
        <n v="141.2"/>
        <n v="142"/>
        <n v="142.4"/>
        <n v="145"/>
        <n v="143.1"/>
        <n v="145.6"/>
        <n v="143.8"/>
        <n v="143.7"/>
        <n v="146.3"/>
        <n v="144.4"/>
        <n v="144.2"/>
        <n v="147.5"/>
        <n v="145.1"/>
        <n v="148"/>
        <n v="145.4"/>
        <n v="145.5"/>
        <n v="148.3"/>
        <n v="146.2"/>
        <n v="145.8"/>
        <n v="148.6"/>
        <n v="146.5"/>
        <n v="147.4"/>
        <n v="150.5"/>
        <n v="148.2"/>
        <n v="149"/>
        <n v="152.1"/>
        <n v="149.8"/>
        <n v="153.6"/>
        <n v="150.8"/>
        <n v="154.6"/>
        <n v="151.6"/>
        <n v="156.2"/>
        <n v="153.2"/>
        <n v="157"/>
        <n v="154.2"/>
        <n v="157.7"/>
        <n v="154.7"/>
        <n v="153.3"/>
        <n v="159.3"/>
        <n v="154.9"/>
        <n v="155.1"/>
        <n v="159.7"/>
        <n v="156.3"/>
        <n v="156.1"/>
        <n v="159.2"/>
        <n v="156.9"/>
        <n v="160.3"/>
        <n v="157.9"/>
        <n v="157.3"/>
        <n v="161"/>
        <n v="158.3"/>
        <n v="161.4"/>
        <n v="157.5"/>
        <n v="156.4"/>
        <n v="162.1"/>
        <n v="163.3"/>
        <n v="159.6"/>
        <n v="164"/>
        <n v="162.6"/>
        <n v="161.9"/>
        <n v="164.4"/>
        <n v="162.4"/>
        <n v="164.6"/>
        <n v="163"/>
        <n v="162.7"/>
        <n v="164.7"/>
        <n v="163.2"/>
        <n v="162.8"/>
        <n v="164.9"/>
        <n v="163.4"/>
        <n v="162.9"/>
        <n v="165.3"/>
        <n v="163.5"/>
        <n v="166.2"/>
        <n v="164.1"/>
        <n v="164.2"/>
        <n v="166.7"/>
        <n v="164.5"/>
        <n v="167.2"/>
        <n v="165.2"/>
        <n v="165.1"/>
        <n v="167.9"/>
        <n v="165.8"/>
        <n v="165.7"/>
        <n v="168.6"/>
        <n v="166.5"/>
        <n v="166.3"/>
        <n v="169.3"/>
        <n v="167.1"/>
        <n v="169.9"/>
        <n v="167.8"/>
        <n v="170.4"/>
        <n v="168.5"/>
        <n v="170.8"/>
        <n v="169.2"/>
        <n v="169.4"/>
        <n v="172"/>
        <n v="170.1"/>
        <n v="170.5"/>
        <n v="173.3"/>
        <n v="171.2"/>
        <n v="171.7"/>
        <n v="172.1"/>
        <n v="182.4"/>
        <n v="186.7"/>
        <n v="183.5"/>
        <n v="180.9"/>
        <n v="187.2"/>
        <n v="182.6"/>
        <n v="182.9"/>
        <n v="188.7"/>
        <n v="184.4"/>
        <n v="182.7"/>
        <n v="184.3"/>
        <n v="183.4"/>
        <n v="188.8"/>
        <n v="184.8"/>
        <n v="183.6"/>
        <n v="190.2"/>
        <n v="185.4"/>
        <n v="184.6"/>
        <n v="191.8"/>
        <n v="186.5"/>
        <n v="193.3"/>
        <n v="188.3"/>
        <n v="186.1"/>
        <n v="193.5"/>
        <n v="188.1"/>
        <n v="186.8"/>
        <n v="194.4"/>
        <n v="189.6"/>
        <n v="198.2"/>
        <n v="191.9"/>
        <n v="189.1"/>
        <n v="195.6"/>
        <n v="190.8"/>
        <n v="189.7"/>
        <n v="195.5"/>
        <n v="191.2"/>
        <n v="196.5"/>
        <n v="192.1"/>
        <n v="190.5"/>
        <n v="197"/>
        <n v="192.7"/>
        <n v="191.4"/>
        <n v="192.9"/>
        <n v="196.8"/>
        <n v="192.4"/>
        <n v="190.7"/>
        <n v="196.4"/>
        <n v="192.2"/>
        <n v="191.5"/>
        <n v="192.8"/>
        <n v="192.3"/>
        <n v="197.5"/>
        <n v="193.7"/>
        <n v="197.1"/>
        <n v="193.9"/>
        <n v="194.1"/>
        <n v="198.3"/>
        <n v="194.3"/>
        <n v="193.2"/>
        <n v="198.6"/>
        <n v="194.6"/>
        <n v="198.7"/>
        <n v="195"/>
        <n v="194.5"/>
        <n v="199.7"/>
        <n v="195.9"/>
        <n v="194.9"/>
        <n v="200.1"/>
        <n v="196.3"/>
        <n v="200.6"/>
        <n v="196.9"/>
        <n v="201.1"/>
        <n v="197.3"/>
        <n v="201.6"/>
        <n v="202.7"/>
        <n v="199.5"/>
        <n v="198.4"/>
        <n v="203.5"/>
        <n v="199.9"/>
        <n v="204.2"/>
        <n v="201"/>
      </sharedItems>
    </cacheField>
    <cacheField name="Clothing" numFmtId="0">
      <sharedItems containsSemiMixedTypes="0" containsString="0" containsNumber="1" minValue="0" maxValue="191.2" count="304">
        <n v="106.5"/>
        <n v="105.9"/>
        <n v="106.3"/>
        <n v="107.1"/>
        <n v="106.6"/>
        <n v="106.9"/>
        <n v="107.6"/>
        <n v="107.2"/>
        <n v="107.4"/>
        <n v="108.1"/>
        <n v="107.9"/>
        <n v="108"/>
        <n v="108.8"/>
        <n v="108.5"/>
        <n v="108.7"/>
        <n v="109.7"/>
        <n v="109.2"/>
        <n v="109.5"/>
        <n v="110.5"/>
        <n v="109.8"/>
        <n v="110.2"/>
        <n v="111.3"/>
        <n v="110.6"/>
        <n v="111"/>
        <n v="112.7"/>
        <n v="111.4"/>
        <n v="112.2"/>
        <n v="113.6"/>
        <n v="112.5"/>
        <n v="113.2"/>
        <n v="114.6"/>
        <n v="113.5"/>
        <n v="114.2"/>
        <n v="115.8"/>
        <n v="115.2"/>
        <n v="116.5"/>
        <n v="114.8"/>
        <n v="117.1"/>
        <n v="115.3"/>
        <n v="116.4"/>
        <n v="117.5"/>
        <n v="116.8"/>
        <n v="118.1"/>
        <n v="116.3"/>
        <n v="117.4"/>
        <n v="118.7"/>
        <n v="118"/>
        <n v="119.7"/>
        <n v="118.8"/>
        <n v="120.7"/>
        <n v="119.6"/>
        <n v="120.9"/>
        <n v="118.6"/>
        <n v="120"/>
        <n v="121.7"/>
        <n v="119.2"/>
        <n v="122.7"/>
        <n v="121.5"/>
        <n v="123.3"/>
        <n v="120.3"/>
        <n v="122.1"/>
        <n v="123.8"/>
        <n v="122.6"/>
        <n v="124.4"/>
        <n v="121"/>
        <n v="123.1"/>
        <n v="125.4"/>
        <n v="121.3"/>
        <n v="126"/>
        <n v="124.3"/>
        <n v="126.4"/>
        <n v="124.7"/>
        <n v="127.3"/>
        <n v="122.4"/>
        <n v="128.4"/>
        <n v="123.2"/>
        <n v="128.8"/>
        <n v="123.5"/>
        <n v="126.7"/>
        <n v="129.5"/>
        <n v="123.7"/>
        <n v="127.2"/>
        <n v="130.4"/>
        <n v="124"/>
        <n v="127.9"/>
        <n v="131.1"/>
        <n v="128.5"/>
        <n v="132.1"/>
        <n v="125"/>
        <n v="129.3"/>
        <n v="132.5"/>
        <n v="129.7"/>
        <n v="133.2"/>
        <n v="125.8"/>
        <n v="130.3"/>
        <n v="133.9"/>
        <n v="126.2"/>
        <n v="130.9"/>
        <n v="134.4"/>
        <n v="131.3"/>
        <n v="135"/>
        <n v="126.8"/>
        <n v="131.8"/>
        <n v="135.4"/>
        <n v="132.2"/>
        <n v="136.3"/>
        <n v="127.6"/>
        <n v="132.9"/>
        <n v="137.2"/>
        <n v="133.5"/>
        <n v="137.8"/>
        <n v="128.3"/>
        <n v="134.1"/>
        <n v="138.5"/>
        <n v="128.7"/>
        <n v="134.6"/>
        <n v="139.6"/>
        <n v="129.1"/>
        <n v="135.5"/>
        <n v="139.9"/>
        <n v="129.6"/>
        <n v="135.8"/>
        <n v="140.4"/>
        <n v="130"/>
        <n v="140.7"/>
        <n v="130.2"/>
        <n v="136.6"/>
        <n v="140.9"/>
        <n v="130.5"/>
        <n v="136.8"/>
        <n v="141.6"/>
        <n v="130.8"/>
        <n v="137.3"/>
        <n v="142.4"/>
        <n v="131.2"/>
        <n v="138"/>
        <n v="142.5"/>
        <n v="131.5"/>
        <n v="138.2"/>
        <n v="143.1"/>
        <n v="144.3"/>
        <n v="131.6"/>
        <n v="139.3"/>
        <n v="145.3"/>
        <n v="132.7"/>
        <n v="140.3"/>
        <n v="146.1"/>
        <n v="133.3"/>
        <n v="141.1"/>
        <n v="147.2"/>
        <n v="134"/>
        <n v="142"/>
        <n v="148.2"/>
        <n v="143"/>
        <n v="148"/>
        <n v="135.6"/>
        <n v="148.3"/>
        <n v="136"/>
        <n v="143.5"/>
        <n v="148.7"/>
        <n v="143.8"/>
        <n v="149.2"/>
        <n v="136.7"/>
        <n v="150.1"/>
        <n v="150.8"/>
        <n v="138.6"/>
        <n v="146"/>
        <n v="151.3"/>
        <n v="138.9"/>
        <n v="146.4"/>
        <n v="151.5"/>
        <n v="146.8"/>
        <n v="152.1"/>
        <n v="140"/>
        <n v="147.3"/>
        <n v="140.8"/>
        <n v="147.7"/>
        <n v="150.7"/>
        <n v="141.5"/>
        <n v="151.7"/>
        <n v="151.6"/>
        <n v="142.7"/>
        <n v="148.1"/>
        <n v="150.6"/>
        <n v="147.6"/>
        <n v="150.5"/>
        <n v="143.3"/>
        <n v="147.9"/>
        <n v="144"/>
        <n v="148.4"/>
        <n v="151.4"/>
        <n v="148.6"/>
        <n v="144.7"/>
        <n v="148.9"/>
        <n v="151.8"/>
        <n v="145"/>
        <n v="149.1"/>
        <n v="145.9"/>
        <n v="149.4"/>
        <n v="152.3"/>
        <n v="146.3"/>
        <n v="149.9"/>
        <n v="152.6"/>
        <n v="150.3"/>
        <n v="152.8"/>
        <n v="147"/>
        <n v="153"/>
        <n v="153.4"/>
        <n v="151.2"/>
        <n v="154.7"/>
        <n v="152.5"/>
        <n v="155.1"/>
        <n v="150"/>
        <n v="153.1"/>
        <n v="155.4"/>
        <n v="150.2"/>
        <n v="155.7"/>
        <n v="153.7"/>
        <n v="156.3"/>
        <n v="151.1"/>
        <n v="154.3"/>
        <n v="157"/>
        <n v="151.9"/>
        <n v="155"/>
        <n v="157.5"/>
        <n v="155.5"/>
        <n v="159.1"/>
        <n v="154.2"/>
        <n v="157.2"/>
        <n v="159.6"/>
        <n v="157.8"/>
        <n v="160.7"/>
        <n v="155.9"/>
        <n v="158.8"/>
        <n v="165.3"/>
        <n v="156.5"/>
        <n v="161.8"/>
        <n v="157.3"/>
        <n v="162.2"/>
        <n v="166"/>
        <n v="157.9"/>
        <n v="162.8"/>
        <n v="167"/>
        <n v="159.8"/>
        <n v="164.5"/>
        <n v="167.7"/>
        <n v="164.6"/>
        <n v="168.9"/>
        <n v="160.8"/>
        <n v="165.7"/>
        <n v="170.4"/>
        <n v="162.3"/>
        <n v="167.2"/>
        <n v="171.8"/>
        <n v="163.3"/>
        <n v="168.5"/>
        <n v="173.2"/>
        <n v="164.7"/>
        <n v="169.9"/>
        <n v="174.1"/>
        <n v="170.8"/>
        <n v="175.4"/>
        <n v="167.1"/>
        <n v="172.1"/>
        <n v="177.5"/>
        <n v="168.4"/>
        <n v="173.9"/>
        <n v="179.3"/>
        <n v="170"/>
        <n v="175.6"/>
        <n v="180.7"/>
        <n v="171.6"/>
        <n v="177.1"/>
        <n v="182"/>
        <n v="172.7"/>
        <n v="178.3"/>
        <n v="183.2"/>
        <n v="173.7"/>
        <n v="179.5"/>
        <n v="184.7"/>
        <n v="175"/>
        <n v="180.9"/>
        <n v="186.1"/>
        <n v="175.5"/>
        <n v="181.9"/>
        <n v="187.2"/>
        <n v="176.7"/>
        <n v="183.1"/>
        <n v="188.1"/>
        <n v="177.7"/>
        <n v="184"/>
        <n v="189"/>
        <n v="178.7"/>
        <n v="184.9"/>
        <n v="190"/>
        <n v="180.3"/>
        <n v="186.2"/>
        <n v="180.2"/>
        <n v="190.7"/>
        <n v="181"/>
        <n v="186.9"/>
        <n v="191.2"/>
        <n v="181.3"/>
        <n v="187.3"/>
      </sharedItems>
    </cacheField>
    <cacheField name="Footwear" numFmtId="0">
      <sharedItems containsSemiMixedTypes="0" containsString="0" containsNumber="1" minValue="0" maxValue="187.9" count="288">
        <n v="105.8"/>
        <n v="105"/>
        <n v="105.5"/>
        <n v="106.3"/>
        <n v="106"/>
        <n v="106.8"/>
        <n v="106.5"/>
        <n v="107.4"/>
        <n v="106.4"/>
        <n v="107"/>
        <n v="107.9"/>
        <n v="106.7"/>
        <n v="108.8"/>
        <n v="107.2"/>
        <n v="108.1"/>
        <n v="109.5"/>
        <n v="107.8"/>
        <n v="110.2"/>
        <n v="108.3"/>
        <n v="109.4"/>
        <n v="111.4"/>
        <n v="109"/>
        <n v="110.4"/>
        <n v="112.3"/>
        <n v="109.7"/>
        <n v="111.2"/>
        <n v="113.1"/>
        <n v="110.3"/>
        <n v="111.9"/>
        <n v="114"/>
        <n v="110.9"/>
        <n v="112.7"/>
        <n v="114.5"/>
        <n v="111.3"/>
        <n v="113.2"/>
        <n v="111.7"/>
        <n v="113.3"/>
        <n v="114.9"/>
        <n v="112.1"/>
        <n v="113.7"/>
        <n v="116.1"/>
        <n v="112.5"/>
        <n v="114.6"/>
        <n v="116.8"/>
        <n v="112.9"/>
        <n v="115.2"/>
        <n v="117.3"/>
        <n v="115.6"/>
        <n v="118.3"/>
        <n v="113.6"/>
        <n v="116.3"/>
        <n v="118.8"/>
        <n v="114.1"/>
        <n v="119.2"/>
        <n v="117.2"/>
        <n v="120.3"/>
        <n v="118.1"/>
        <n v="120.5"/>
        <n v="115.4"/>
        <n v="118.4"/>
        <n v="120.6"/>
        <n v="115.8"/>
        <n v="118.6"/>
        <n v="121.6"/>
        <n v="119.3"/>
        <n v="122.7"/>
        <n v="116.5"/>
        <n v="120.1"/>
        <n v="122.9"/>
        <n v="116.9"/>
        <n v="120.4"/>
        <n v="123.3"/>
        <n v="120.8"/>
        <n v="124.1"/>
        <n v="117.4"/>
        <n v="121.3"/>
        <n v="125.1"/>
        <n v="117.6"/>
        <n v="122"/>
        <n v="125.5"/>
        <n v="117.9"/>
        <n v="122.3"/>
        <n v="126.3"/>
        <n v="118.2"/>
        <n v="126.8"/>
        <n v="123.4"/>
        <n v="127.3"/>
        <n v="123.8"/>
        <n v="128.2"/>
        <n v="124.5"/>
        <n v="128.5"/>
        <n v="119.5"/>
        <n v="124.8"/>
        <n v="128.9"/>
        <n v="119.8"/>
        <n v="129.8"/>
        <n v="125.8"/>
        <n v="130.2"/>
        <n v="126.1"/>
        <n v="130.6"/>
        <n v="126.4"/>
        <n v="131.1"/>
        <n v="120.7"/>
        <n v="131.6"/>
        <n v="121.1"/>
        <n v="127.2"/>
        <n v="132.2"/>
        <n v="127.6"/>
        <n v="133"/>
        <n v="121.4"/>
        <n v="133.5"/>
        <n v="128.6"/>
        <n v="134.3"/>
        <n v="121.9"/>
        <n v="129.1"/>
        <n v="134.5"/>
        <n v="122.1"/>
        <n v="129.3"/>
        <n v="135.2"/>
        <n v="122.2"/>
        <n v="135.8"/>
        <n v="122.5"/>
        <n v="130.3"/>
        <n v="136.2"/>
        <n v="122.8"/>
        <n v="136.8"/>
        <n v="123"/>
        <n v="137.3"/>
        <n v="123.2"/>
        <n v="131.4"/>
        <n v="137.7"/>
        <n v="131.7"/>
        <n v="138.1"/>
        <n v="123.7"/>
        <n v="132.1"/>
        <n v="139.2"/>
        <n v="124.3"/>
        <n v="139.7"/>
        <n v="124.6"/>
        <n v="133.4"/>
        <n v="140.6"/>
        <n v="124.9"/>
        <n v="134.1"/>
        <n v="141.5"/>
        <n v="125.4"/>
        <n v="134.8"/>
        <n v="141.9"/>
        <n v="125.6"/>
        <n v="135.1"/>
        <n v="142.3"/>
        <n v="125.9"/>
        <n v="135.5"/>
        <n v="142.4"/>
        <n v="135.6"/>
        <n v="143"/>
        <n v="126.7"/>
        <n v="143.3"/>
        <n v="127.4"/>
        <n v="136.7"/>
        <n v="144.1"/>
        <n v="127.9"/>
        <n v="137.4"/>
        <n v="144.7"/>
        <n v="128.7"/>
        <n v="145.1"/>
        <n v="138.4"/>
        <n v="145.8"/>
        <n v="129"/>
        <n v="138.8"/>
        <n v="146.1"/>
        <n v="139.1"/>
        <n v="144.5"/>
        <n v="145.5"/>
        <n v="145.9"/>
        <n v="139.4"/>
        <n v="130.4"/>
        <n v="139"/>
        <n v="130.8"/>
        <n v="131.2"/>
        <n v="139.9"/>
        <n v="146.6"/>
        <n v="140.4"/>
        <n v="146.5"/>
        <n v="131.9"/>
        <n v="140.5"/>
        <n v="146.7"/>
        <n v="132.4"/>
        <n v="140.8"/>
        <n v="147"/>
        <n v="132.6"/>
        <n v="141"/>
        <n v="147.3"/>
        <n v="132.8"/>
        <n v="141.3"/>
        <n v="147.4"/>
        <n v="133.2"/>
        <n v="147.5"/>
        <n v="141.7"/>
        <n v="147.6"/>
        <n v="133.8"/>
        <n v="141.1"/>
        <n v="138.9"/>
        <n v="150"/>
        <n v="136.6"/>
        <n v="144.4"/>
        <n v="149.3"/>
        <n v="143.4"/>
        <n v="149.9"/>
        <n v="136.3"/>
        <n v="144.3"/>
        <n v="150.6"/>
        <n v="136.1"/>
        <n v="144.6"/>
        <n v="151"/>
        <n v="136.4"/>
        <n v="144.9"/>
        <n v="151.6"/>
        <n v="145.4"/>
        <n v="152.4"/>
        <n v="153.9"/>
        <n v="138.2"/>
        <n v="154.4"/>
        <n v="138.7"/>
        <n v="147.9"/>
        <n v="155.1"/>
        <n v="139.3"/>
        <n v="148.5"/>
        <n v="160.6"/>
        <n v="140.2"/>
        <n v="152.1"/>
        <n v="159.9"/>
        <n v="151.8"/>
        <n v="161.1"/>
        <n v="153.1"/>
        <n v="162.6"/>
        <n v="143.6"/>
        <n v="155.3"/>
        <n v="163.6"/>
        <n v="164.8"/>
        <n v="156.3"/>
        <n v="166"/>
        <n v="145.3"/>
        <n v="157.4"/>
        <n v="167.3"/>
        <n v="158.7"/>
        <n v="169.3"/>
        <n v="160.7"/>
        <n v="171"/>
        <n v="150.4"/>
        <n v="162.4"/>
        <n v="173.2"/>
        <n v="152.6"/>
        <n v="164.6"/>
        <n v="175.1"/>
        <n v="154.5"/>
        <n v="166.5"/>
        <n v="177.2"/>
        <n v="155.9"/>
        <n v="168.4"/>
        <n v="178.7"/>
        <n v="169.9"/>
        <n v="180.3"/>
        <n v="171.3"/>
        <n v="181.7"/>
        <n v="160"/>
        <n v="172.7"/>
        <n v="183.3"/>
        <n v="161.7"/>
        <n v="174.3"/>
        <n v="184.4"/>
        <n v="175.3"/>
        <n v="185.2"/>
        <n v="163.5"/>
        <n v="176.2"/>
        <n v="185.9"/>
        <n v="164.5"/>
        <n v="177"/>
        <n v="186.3"/>
        <n v="165.3"/>
        <n v="177.6"/>
        <n v="187"/>
        <n v="167"/>
        <n v="187.3"/>
        <n v="167.7"/>
        <n v="179.2"/>
        <n v="187.9"/>
        <n v="168.1"/>
        <n v="179.7"/>
      </sharedItems>
    </cacheField>
    <cacheField name="Clothing and footwear" numFmtId="0">
      <sharedItems containsSemiMixedTypes="0" containsString="0" containsNumber="1" minValue="0" maxValue="190.8" count="303">
        <n v="106.4"/>
        <n v="105.8"/>
        <n v="106.2"/>
        <n v="107"/>
        <n v="106.8"/>
        <n v="107.5"/>
        <n v="107.3"/>
        <n v="108"/>
        <n v="107.7"/>
        <n v="107.9"/>
        <n v="108.6"/>
        <n v="108.3"/>
        <n v="108.5"/>
        <n v="109.5"/>
        <n v="108.9"/>
        <n v="109.3"/>
        <n v="110.3"/>
        <n v="110"/>
        <n v="111.1"/>
        <n v="110.2"/>
        <n v="110.7"/>
        <n v="112.5"/>
        <n v="111.9"/>
        <n v="113.4"/>
        <n v="112"/>
        <n v="112.8"/>
        <n v="114.4"/>
        <n v="113"/>
        <n v="113.8"/>
        <n v="115.5"/>
        <n v="113.7"/>
        <n v="114.8"/>
        <n v="116.2"/>
        <n v="114.3"/>
        <n v="115.4"/>
        <n v="116.7"/>
        <n v="114.7"/>
        <n v="115.9"/>
        <n v="117.2"/>
        <n v="115.2"/>
        <n v="116.4"/>
        <n v="117.8"/>
        <n v="115.7"/>
        <n v="117"/>
        <n v="118.5"/>
        <n v="117.6"/>
        <n v="119.3"/>
        <n v="118.3"/>
        <n v="120.3"/>
        <n v="117.4"/>
        <n v="119.1"/>
        <n v="120.7"/>
        <n v="117.9"/>
        <n v="119.6"/>
        <n v="121.3"/>
        <n v="118.4"/>
        <n v="120.1"/>
        <n v="122.3"/>
        <n v="118.9"/>
        <n v="121"/>
        <n v="122.9"/>
        <n v="119.5"/>
        <n v="121.6"/>
        <n v="123.3"/>
        <n v="120"/>
        <n v="122"/>
        <n v="124"/>
        <n v="120.2"/>
        <n v="122.5"/>
        <n v="125"/>
        <n v="120.6"/>
        <n v="125.5"/>
        <n v="120.9"/>
        <n v="123.7"/>
        <n v="126"/>
        <n v="124.1"/>
        <n v="126.8"/>
        <n v="124.7"/>
        <n v="128"/>
        <n v="125.7"/>
        <n v="128.3"/>
        <n v="122.7"/>
        <n v="126.1"/>
        <n v="129"/>
        <n v="126.6"/>
        <n v="129.9"/>
        <n v="123.2"/>
        <n v="127.2"/>
        <n v="130.6"/>
        <n v="123.6"/>
        <n v="127.8"/>
        <n v="131.5"/>
        <n v="124.2"/>
        <n v="128.6"/>
        <n v="131.9"/>
        <n v="124.5"/>
        <n v="132.6"/>
        <n v="124.9"/>
        <n v="129.5"/>
        <n v="133.4"/>
        <n v="125.3"/>
        <n v="130.2"/>
        <n v="133.8"/>
        <n v="130.5"/>
        <n v="134.4"/>
        <n v="125.8"/>
        <n v="131"/>
        <n v="134.8"/>
        <n v="126.2"/>
        <n v="131.4"/>
        <n v="135.6"/>
        <n v="132"/>
        <n v="136.5"/>
        <n v="126.9"/>
        <n v="132.7"/>
        <n v="137.1"/>
        <n v="127.3"/>
        <n v="133.2"/>
        <n v="137.8"/>
        <n v="127.7"/>
        <n v="138.8"/>
        <n v="134.5"/>
        <n v="139.2"/>
        <n v="128.5"/>
        <n v="135"/>
        <n v="139.7"/>
        <n v="128.8"/>
        <n v="135.4"/>
        <n v="140"/>
        <n v="140.2"/>
        <n v="129.3"/>
        <n v="135.9"/>
        <n v="140.8"/>
        <n v="129.6"/>
        <n v="136.4"/>
        <n v="141.6"/>
        <n v="130"/>
        <n v="137"/>
        <n v="141.8"/>
        <n v="137.2"/>
        <n v="142.3"/>
        <n v="137.5"/>
        <n v="143.5"/>
        <n v="130.4"/>
        <n v="138.3"/>
        <n v="144.5"/>
        <n v="139.3"/>
        <n v="145.2"/>
        <n v="146.2"/>
        <n v="147.3"/>
        <n v="133.5"/>
        <n v="147.2"/>
        <n v="134"/>
        <n v="142"/>
        <n v="147.5"/>
        <n v="147.8"/>
        <n v="134.7"/>
        <n v="142.6"/>
        <n v="148.3"/>
        <n v="135.2"/>
        <n v="143.1"/>
        <n v="149.1"/>
        <n v="136.2"/>
        <n v="144"/>
        <n v="149.8"/>
        <n v="144.7"/>
        <n v="150.3"/>
        <n v="137.4"/>
        <n v="150.6"/>
        <n v="137.9"/>
        <n v="145.6"/>
        <n v="151.3"/>
        <n v="146.1"/>
        <n v="139.1"/>
        <n v="146.5"/>
        <n v="146.8"/>
        <n v="150.8"/>
        <n v="140.5"/>
        <n v="146.7"/>
        <n v="149.9"/>
        <n v="141.1"/>
        <n v="146.4"/>
        <n v="141.4"/>
        <n v="150.1"/>
        <n v="150.7"/>
        <n v="142.2"/>
        <n v="142.4"/>
        <n v="147.4"/>
        <n v="150.9"/>
        <n v="142.7"/>
        <n v="147.6"/>
        <n v="151.1"/>
        <n v="143"/>
        <n v="147.9"/>
        <n v="151"/>
        <n v="143.3"/>
        <n v="143.9"/>
        <n v="148.2"/>
        <n v="151.5"/>
        <n v="144.2"/>
        <n v="148.6"/>
        <n v="151.9"/>
        <n v="144.6"/>
        <n v="149"/>
        <n v="152.1"/>
        <n v="144.9"/>
        <n v="149.2"/>
        <n v="152.3"/>
        <n v="149.5"/>
        <n v="152.5"/>
        <n v="149.3"/>
        <n v="154.1"/>
        <n v="151.4"/>
        <n v="154.3"/>
        <n v="151.7"/>
        <n v="154.6"/>
        <n v="148.1"/>
        <n v="152"/>
        <n v="155"/>
        <n v="155.5"/>
        <n v="148.8"/>
        <n v="152.8"/>
        <n v="156.3"/>
        <n v="149.6"/>
        <n v="153.6"/>
        <n v="156.8"/>
        <n v="150.2"/>
        <n v="154.2"/>
        <n v="158.4"/>
        <n v="151.8"/>
        <n v="155.8"/>
        <n v="158.9"/>
        <n v="152.6"/>
        <n v="156.4"/>
        <n v="159.9"/>
        <n v="153.4"/>
        <n v="157.3"/>
        <n v="164.5"/>
        <n v="160.4"/>
        <n v="164.6"/>
        <n v="154.8"/>
        <n v="160.7"/>
        <n v="165.3"/>
        <n v="161.4"/>
        <n v="166.3"/>
        <n v="163.2"/>
        <n v="167.1"/>
        <n v="157.4"/>
        <n v="163.3"/>
        <n v="168.3"/>
        <n v="158.3"/>
        <n v="164.3"/>
        <n v="169.8"/>
        <n v="159.7"/>
        <n v="165.8"/>
        <n v="171.2"/>
        <n v="167"/>
        <n v="172.7"/>
        <n v="162.2"/>
        <n v="168.5"/>
        <n v="173.7"/>
        <n v="163.4"/>
        <n v="169.6"/>
        <n v="175.1"/>
        <n v="164.9"/>
        <n v="171.1"/>
        <n v="177.1"/>
        <n v="172.8"/>
        <n v="179"/>
        <n v="167.8"/>
        <n v="174.6"/>
        <n v="180.4"/>
        <n v="169.4"/>
        <n v="176"/>
        <n v="181.7"/>
        <n v="170.6"/>
        <n v="177.3"/>
        <n v="183"/>
        <n v="171.6"/>
        <n v="178.5"/>
        <n v="184.5"/>
        <n v="173"/>
        <n v="179.9"/>
        <n v="185.9"/>
        <n v="173.6"/>
        <n v="181"/>
        <n v="186.9"/>
        <n v="174.7"/>
        <n v="182.1"/>
        <n v="187.8"/>
        <n v="175.7"/>
        <n v="188.6"/>
        <n v="176.6"/>
        <n v="183.8"/>
        <n v="189.6"/>
        <n v="178.2"/>
        <n v="185.1"/>
        <n v="190.2"/>
        <n v="178.9"/>
        <n v="185.7"/>
        <n v="190.8"/>
        <n v="179.3"/>
        <n v="186.2"/>
      </sharedItems>
    </cacheField>
    <cacheField name="Clothes &amp; Shoes" numFmtId="0">
      <sharedItems containsSemiMixedTypes="0" containsString="0" containsNumber="1" minValue="0" maxValue="569.9" count="334">
        <n v="318.7"/>
        <n v="316.7"/>
        <n v="318"/>
        <n v="320.4"/>
        <n v="318.5"/>
        <n v="319.7"/>
        <n v="321.9"/>
        <n v="320.2"/>
        <n v="321.2"/>
        <n v="323.5"/>
        <n v="322"/>
        <n v="322.9"/>
        <n v="325.3"/>
        <n v="324.6"/>
        <n v="328"/>
        <n v="326.9"/>
        <n v="330.3"/>
        <n v="327.1"/>
        <n v="329"/>
        <n v="332.6"/>
        <n v="329.1"/>
        <n v="331.1"/>
        <n v="336.6"/>
        <n v="331.5"/>
        <n v="334.5"/>
        <n v="339.3"/>
        <n v="334.2"/>
        <n v="337.2"/>
        <n v="342.1"/>
        <n v="336.8"/>
        <n v="339.9"/>
        <n v="345.3"/>
        <n v="338.8"/>
        <n v="342.7"/>
        <n v="347.2"/>
        <n v="340.4"/>
        <n v="344.4"/>
        <n v="348.3"/>
        <n v="341.7"/>
        <n v="345.6"/>
        <n v="349.6"/>
        <n v="343.1"/>
        <n v="346.9"/>
        <n v="352"/>
        <n v="344.5"/>
        <n v="349"/>
        <n v="354"/>
        <n v="345.9"/>
        <n v="350.8"/>
        <n v="356.3"/>
        <n v="347.3"/>
        <n v="352.7"/>
        <n v="359.3"/>
        <n v="355"/>
        <n v="360.4"/>
        <n v="350.6"/>
        <n v="356.4"/>
        <n v="362.2"/>
        <n v="352.1"/>
        <n v="358"/>
        <n v="365.3"/>
        <n v="353.4"/>
        <n v="360.6"/>
        <n v="366.7"/>
        <n v="355.2"/>
        <n v="362.1"/>
        <n v="367.7"/>
        <n v="356.5"/>
        <n v="363.2"/>
        <n v="370"/>
        <n v="357.3"/>
        <n v="364.9"/>
        <n v="373.1"/>
        <n v="358.4"/>
        <n v="367.2"/>
        <n v="374.4"/>
        <n v="359.5"/>
        <n v="368.4"/>
        <n v="375.7"/>
        <n v="369.6"/>
        <n v="378.2"/>
        <n v="361.4"/>
        <n v="371.4"/>
        <n v="381.5"/>
        <n v="363.1"/>
        <n v="374.1"/>
        <n v="382.6"/>
        <n v="364.1"/>
        <n v="375.1"/>
        <n v="384.8"/>
        <n v="364.8"/>
        <n v="376.7"/>
        <n v="387.1"/>
        <n v="365.8"/>
        <n v="378.5"/>
        <n v="389"/>
        <n v="366.8"/>
        <n v="380.1"/>
        <n v="391.8"/>
        <n v="368.5"/>
        <n v="382.4"/>
        <n v="392.9"/>
        <n v="369.4"/>
        <n v="383.5"/>
        <n v="394.7"/>
        <n v="370.5"/>
        <n v="384.9"/>
        <n v="397.1"/>
        <n v="371.6"/>
        <n v="386.9"/>
        <n v="398.4"/>
        <n v="372.2"/>
        <n v="387.9"/>
        <n v="400"/>
        <n v="389.2"/>
        <n v="401.3"/>
        <n v="390.4"/>
        <n v="403.5"/>
        <n v="375.3"/>
        <n v="392.1"/>
        <n v="405.9"/>
        <n v="375.9"/>
        <n v="393.8"/>
        <n v="407.9"/>
        <n v="377"/>
        <n v="395.5"/>
        <n v="409.8"/>
        <n v="378"/>
        <n v="397"/>
        <n v="412.7"/>
        <n v="379"/>
        <n v="399.1"/>
        <n v="413.6"/>
        <n v="380.2"/>
        <n v="400.1"/>
        <n v="415.3"/>
        <n v="381"/>
        <n v="401.5"/>
        <n v="416.5"/>
        <n v="402.4"/>
        <n v="416.9"/>
        <n v="382.3"/>
        <n v="403"/>
        <n v="418.6"/>
        <n v="383.2"/>
        <n v="404.3"/>
        <n v="420.8"/>
        <n v="384.2"/>
        <n v="406.1"/>
        <n v="421.6"/>
        <n v="406.8"/>
        <n v="423.1"/>
        <n v="407.7"/>
        <n v="425.9"/>
        <n v="385.7"/>
        <n v="409.7"/>
        <n v="429"/>
        <n v="388.4"/>
        <n v="412.6"/>
        <n v="431"/>
        <n v="389.9"/>
        <n v="414.5"/>
        <n v="434"/>
        <n v="391.5"/>
        <n v="437"/>
        <n v="393.9"/>
        <n v="419.6"/>
        <n v="437.1"/>
        <n v="395.2"/>
        <n v="420.2"/>
        <n v="438.1"/>
        <n v="396.3"/>
        <n v="421.3"/>
        <n v="438.9"/>
        <n v="422"/>
        <n v="440.5"/>
        <n v="398.6"/>
        <n v="423.6"/>
        <n v="442.5"/>
        <n v="401.4"/>
        <n v="426"/>
        <n v="444.7"/>
        <n v="428.1"/>
        <n v="446.3"/>
        <n v="405"/>
        <n v="429.7"/>
        <n v="447.2"/>
        <n v="406.4"/>
        <n v="430.8"/>
        <n v="449.2"/>
        <n v="407.3"/>
        <n v="432.2"/>
        <n v="449.5"/>
        <n v="409.2"/>
        <n v="433.3"/>
        <n v="445"/>
        <n v="411"/>
        <n v="448"/>
        <n v="413.1"/>
        <n v="433.8"/>
        <n v="448.3"/>
        <n v="413.8"/>
        <n v="434.3"/>
        <n v="445.6"/>
        <n v="433"/>
        <n v="446.5"/>
        <n v="415.5"/>
        <n v="433.9"/>
        <n v="447"/>
        <n v="416.3"/>
        <n v="434.5"/>
        <n v="448.6"/>
        <n v="417.9"/>
        <n v="436.1"/>
        <n v="418.4"/>
        <n v="436.4"/>
        <n v="449.1"/>
        <n v="419.3"/>
        <n v="437.6"/>
        <n v="449.3"/>
        <n v="437.7"/>
        <n v="449.4"/>
        <n v="422.2"/>
        <n v="438.4"/>
        <n v="450.8"/>
        <n v="439.5"/>
        <n v="451.8"/>
        <n v="424.2"/>
        <n v="440.6"/>
        <n v="452.3"/>
        <n v="425.1"/>
        <n v="441.2"/>
        <n v="452.8"/>
        <n v="442"/>
        <n v="453.5"/>
        <n v="427.1"/>
        <n v="442.9"/>
        <n v="440.3"/>
        <n v="458.8"/>
        <n v="432.9"/>
        <n v="458.7"/>
        <n v="448.2"/>
        <n v="459.9"/>
        <n v="434.6"/>
        <n v="449.7"/>
        <n v="461.3"/>
        <n v="434.9"/>
        <n v="450.6"/>
        <n v="462.8"/>
        <n v="436.3"/>
        <n v="452"/>
        <n v="464.9"/>
        <n v="438.2"/>
        <n v="454"/>
        <n v="466.7"/>
        <n v="440"/>
        <n v="455.8"/>
        <n v="471.4"/>
        <n v="444.2"/>
        <n v="460.4"/>
        <n v="472.9"/>
        <n v="446.4"/>
        <n v="462.1"/>
        <n v="475.7"/>
        <n v="464.6"/>
        <n v="490.4"/>
        <n v="474.3"/>
        <n v="489.8"/>
        <n v="452.6"/>
        <n v="474.7"/>
        <n v="492.4"/>
        <n v="455.3"/>
        <n v="477.3"/>
        <n v="495.9"/>
        <n v="460.7"/>
        <n v="483"/>
        <n v="498.4"/>
        <n v="460.8"/>
        <n v="483.2"/>
        <n v="502"/>
        <n v="463.5"/>
        <n v="486.3"/>
        <n v="506.2"/>
        <n v="467.3"/>
        <n v="510.3"/>
        <n v="470.7"/>
        <n v="494.2"/>
        <n v="515.2"/>
        <n v="475.4"/>
        <n v="499.1"/>
        <n v="518.8"/>
        <n v="479.5"/>
        <n v="502.8"/>
        <n v="523.7"/>
        <n v="484.6"/>
        <n v="507.8"/>
        <n v="529.7"/>
        <n v="489.2"/>
        <n v="513.2"/>
        <n v="535.5"/>
        <n v="493.7"/>
        <n v="518.6"/>
        <n v="539.8"/>
        <n v="523"/>
        <n v="544"/>
        <n v="526.9"/>
        <n v="547.9"/>
        <n v="505.3"/>
        <n v="530.7"/>
        <n v="552.5"/>
        <n v="509.7"/>
        <n v="535.1"/>
        <n v="556.4"/>
        <n v="511.7"/>
        <n v="538.2"/>
        <n v="559.3"/>
        <n v="514.9"/>
        <n v="541.4"/>
        <n v="561.8"/>
        <n v="517.9"/>
        <n v="563.9"/>
        <n v="520.6"/>
        <n v="546.3"/>
        <n v="566.6"/>
        <n v="525.5"/>
        <n v="550"/>
        <n v="525.4"/>
        <n v="549.9"/>
        <n v="568.2"/>
        <n v="527.6"/>
        <n v="551.8"/>
        <n v="569.9"/>
        <n v="528.7"/>
        <n v="553.2"/>
      </sharedItems>
    </cacheField>
    <cacheField name="Housing" numFmtId="0">
      <sharedItems containsSemiMixedTypes="0" containsString="0" containsNumber="1" minValue="0" maxValue="175.6" count="118">
        <n v="100.3"/>
        <n v="100.4"/>
        <n v="100.5"/>
        <n v="100.6"/>
        <n v="106.6"/>
        <n v="100.7"/>
        <n v="107.7"/>
        <n v="108.9"/>
        <n v="109.7"/>
        <n v="110.5"/>
        <n v="111.1"/>
        <n v="110.7"/>
        <n v="111.6"/>
        <n v="112.5"/>
        <n v="113.2"/>
        <n v="113.9"/>
        <n v="114.3"/>
        <n v="114.8"/>
        <n v="115.5"/>
        <n v="116.1"/>
        <n v="116.7"/>
        <n v="117.1"/>
        <n v="116.5"/>
        <n v="117.3"/>
        <n v="118.1"/>
        <n v="118.6"/>
        <n v="119.2"/>
        <n v="119.6"/>
        <n v="119"/>
        <n v="119.9"/>
        <n v="120.9"/>
        <n v="121.6"/>
        <n v="122.4"/>
        <n v="122.9"/>
        <n v="123.4"/>
        <n v="124.4"/>
        <n v="124.9"/>
        <n v="125.6"/>
        <n v="126"/>
        <n v="125.5"/>
        <n v="126.4"/>
        <n v="127.3"/>
        <n v="127.9"/>
        <n v="128.7"/>
        <n v="129.1"/>
        <n v="128.5"/>
        <n v="129.6"/>
        <n v="130.5"/>
        <n v="131.1"/>
        <n v="131.7"/>
        <n v="132.1"/>
        <n v="131.4"/>
        <n v="132.6"/>
        <n v="134.4"/>
        <n v="135.7"/>
        <n v="137.3"/>
        <n v="138.6"/>
        <n v="139.1"/>
        <n v="140.4"/>
        <n v="141.3"/>
        <n v="142"/>
        <n v="142.9"/>
        <n v="143.2"/>
        <n v="142.5"/>
        <n v="143.6"/>
        <n v="144.6"/>
        <n v="145.3"/>
        <n v="146.3"/>
        <n v="146.9"/>
        <n v="146.5"/>
        <n v="147.7"/>
        <n v="148.5"/>
        <n v="149"/>
        <n v="150.1"/>
        <n v="149.4"/>
        <n v="150.6"/>
        <n v="151.6"/>
        <n v="152.2"/>
        <n v="153"/>
        <n v="153.5"/>
        <n v="152.8"/>
        <n v="153.9"/>
        <n v="154.8"/>
        <n v="154.5"/>
        <n v="155.6"/>
        <n v="154.7"/>
        <n v="155.5"/>
        <n v="156.3"/>
        <n v="156.5"/>
        <n v="158"/>
        <n v="158.4"/>
        <n v="157.7"/>
        <n v="159.8"/>
        <n v="159.9"/>
        <n v="161.4"/>
        <n v="161.6"/>
        <n v="160.5"/>
        <n v="161.5"/>
        <n v="162.1"/>
        <n v="163.6"/>
        <n v="164.2"/>
        <n v="163.4"/>
        <n v="164.5"/>
        <n v="165.5"/>
        <n v="165.3"/>
        <n v="167"/>
        <n v="167.5"/>
        <n v="166.8"/>
        <n v="167.8"/>
        <n v="169"/>
        <n v="169.5"/>
        <n v="171.2"/>
        <n v="171.8"/>
        <n v="170.7"/>
        <n v="172.1"/>
        <n v="173.5"/>
        <n v="175.2"/>
        <n v="175.6"/>
      </sharedItems>
    </cacheField>
    <cacheField name="Household goods and services" numFmtId="0">
      <sharedItems containsSemiMixedTypes="0" containsString="0" containsNumber="1" minValue="0" maxValue="179.8" count="290">
        <n v="104.8"/>
        <n v="105.2"/>
        <n v="105.6"/>
        <n v="105.7"/>
        <n v="106.1"/>
        <n v="106.5"/>
        <n v="106.3"/>
        <n v="106.8"/>
        <n v="107.1"/>
        <n v="106.9"/>
        <n v="107.5"/>
        <n v="107.7"/>
        <n v="107.6"/>
        <n v="108.3"/>
        <n v="108.1"/>
        <n v="108.2"/>
        <n v="108.7"/>
        <n v="109.6"/>
        <n v="110.4"/>
        <n v="110.2"/>
        <n v="110.3"/>
        <n v="111.3"/>
        <n v="110.9"/>
        <n v="111.1"/>
        <n v="112.1"/>
        <n v="111.7"/>
        <n v="112.6"/>
        <n v="111.9"/>
        <n v="112.3"/>
        <n v="112.9"/>
        <n v="112.8"/>
        <n v="113.4"/>
        <n v="113"/>
        <n v="113.2"/>
        <n v="113.7"/>
        <n v="113.6"/>
        <n v="114.1"/>
        <n v="114.9"/>
        <n v="114.3"/>
        <n v="114.6"/>
        <n v="115.4"/>
        <n v="115.2"/>
        <n v="115.9"/>
        <n v="115.3"/>
        <n v="115.6"/>
        <n v="116.7"/>
        <n v="115.5"/>
        <n v="116.1"/>
        <n v="117.5"/>
        <n v="115.8"/>
        <n v="118.1"/>
        <n v="116.4"/>
        <n v="117.3"/>
        <n v="118.2"/>
        <n v="116.8"/>
        <n v="118.9"/>
        <n v="117.2"/>
        <n v="119.6"/>
        <n v="117.7"/>
        <n v="118.7"/>
        <n v="120.2"/>
        <n v="118"/>
        <n v="119.2"/>
        <n v="120.9"/>
        <n v="118.4"/>
        <n v="119.7"/>
        <n v="121.5"/>
        <n v="122.8"/>
        <n v="121.1"/>
        <n v="123"/>
        <n v="119.5"/>
        <n v="121.3"/>
        <n v="123.7"/>
        <n v="120"/>
        <n v="122"/>
        <n v="124.5"/>
        <n v="120.4"/>
        <n v="122.6"/>
        <n v="125.1"/>
        <n v="120.7"/>
        <n v="125.6"/>
        <n v="121"/>
        <n v="123.4"/>
        <n v="126"/>
        <n v="123.6"/>
        <n v="126.6"/>
        <n v="121.6"/>
        <n v="124.2"/>
        <n v="127.1"/>
        <n v="121.8"/>
        <n v="124.6"/>
        <n v="127.7"/>
        <n v="122.3"/>
        <n v="128"/>
        <n v="125.5"/>
        <n v="128.5"/>
        <n v="123.2"/>
        <n v="129.3"/>
        <n v="126.4"/>
        <n v="130"/>
        <n v="123.5"/>
        <n v="126.9"/>
        <n v="130.6"/>
        <n v="123.9"/>
        <n v="127.4"/>
        <n v="131.1"/>
        <n v="124.3"/>
        <n v="127.9"/>
        <n v="131.8"/>
        <n v="128.4"/>
        <n v="132.1"/>
        <n v="124.7"/>
        <n v="128.6"/>
        <n v="132.9"/>
        <n v="125"/>
        <n v="129.2"/>
        <n v="133.2"/>
        <n v="129.4"/>
        <n v="133.6"/>
        <n v="125.3"/>
        <n v="129.7"/>
        <n v="134.1"/>
        <n v="130.1"/>
        <n v="134.3"/>
        <n v="130.4"/>
        <n v="134.9"/>
        <n v="126.5"/>
        <n v="130.9"/>
        <n v="135.2"/>
        <n v="126.8"/>
        <n v="131.2"/>
        <n v="136.1"/>
        <n v="127.2"/>
        <n v="131.9"/>
        <n v="137.3"/>
        <n v="132.8"/>
        <n v="137.9"/>
        <n v="128.1"/>
        <n v="133.3"/>
        <n v="138.4"/>
        <n v="128.3"/>
        <n v="139.4"/>
        <n v="128.8"/>
        <n v="134.4"/>
        <n v="139.5"/>
        <n v="134.7"/>
        <n v="139.8"/>
        <n v="129.5"/>
        <n v="139.9"/>
        <n v="129.9"/>
        <n v="130.8"/>
        <n v="135.6"/>
        <n v="140.9"/>
        <n v="136.6"/>
        <n v="141.8"/>
        <n v="132.5"/>
        <n v="137.4"/>
        <n v="142.2"/>
        <n v="133.1"/>
        <n v="143.1"/>
        <n v="138.6"/>
        <n v="143.8"/>
        <n v="144"/>
        <n v="139.7"/>
        <n v="147.5"/>
        <n v="135.1"/>
        <n v="148"/>
        <n v="135.8"/>
        <n v="149.5"/>
        <n v="136.2"/>
        <n v="143.2"/>
        <n v="150.1"/>
        <n v="136.3"/>
        <n v="143.6"/>
        <n v="143.7"/>
        <n v="150"/>
        <n v="136.8"/>
        <n v="137.2"/>
        <n v="149.6"/>
        <n v="137.7"/>
        <n v="144.2"/>
        <n v="150.2"/>
        <n v="138.1"/>
        <n v="144.5"/>
        <n v="150.3"/>
        <n v="138.3"/>
        <n v="144.6"/>
        <n v="150.6"/>
        <n v="138.7"/>
        <n v="145"/>
        <n v="150.9"/>
        <n v="139.1"/>
        <n v="145.3"/>
        <n v="151.2"/>
        <n v="145.8"/>
        <n v="151.7"/>
        <n v="140.1"/>
        <n v="146.2"/>
        <n v="151.8"/>
        <n v="140.4"/>
        <n v="146.4"/>
        <n v="151.5"/>
        <n v="140.8"/>
        <n v="145.7"/>
        <n v="151.9"/>
        <n v="148.4"/>
        <n v="151.6"/>
        <n v="145.4"/>
        <n v="148.7"/>
        <n v="152"/>
        <n v="145.1"/>
        <n v="152.8"/>
        <n v="149.2"/>
        <n v="153.4"/>
        <n v="145.5"/>
        <n v="149.7"/>
        <n v="153.9"/>
        <n v="154.8"/>
        <n v="146.5"/>
        <n v="147.2"/>
        <n v="155.5"/>
        <n v="147.6"/>
        <n v="158.8"/>
        <n v="154.7"/>
        <n v="159.2"/>
        <n v="149.8"/>
        <n v="160.3"/>
        <n v="150.7"/>
        <n v="155.8"/>
        <n v="160.9"/>
        <n v="153.2"/>
        <n v="157.5"/>
        <n v="161.3"/>
        <n v="153.3"/>
        <n v="162"/>
        <n v="154.3"/>
        <n v="158.4"/>
        <n v="162.9"/>
        <n v="155.2"/>
        <n v="159.3"/>
        <n v="163.9"/>
        <n v="156"/>
        <n v="160.2"/>
        <n v="164.9"/>
        <n v="156.8"/>
        <n v="161.1"/>
        <n v="165.7"/>
        <n v="157.4"/>
        <n v="161.8"/>
        <n v="166.5"/>
        <n v="158.6"/>
        <n v="162.8"/>
        <n v="167.7"/>
        <n v="159.8"/>
        <n v="164"/>
        <n v="168.9"/>
        <n v="165.2"/>
        <n v="170.3"/>
        <n v="162.1"/>
        <n v="166.4"/>
        <n v="171.3"/>
        <n v="163.1"/>
        <n v="167.4"/>
        <n v="172.3"/>
        <n v="164.2"/>
        <n v="168.5"/>
        <n v="173.6"/>
        <n v="165"/>
        <n v="169.5"/>
        <n v="174.4"/>
        <n v="166"/>
        <n v="170.4"/>
        <n v="175.5"/>
        <n v="166.9"/>
        <n v="171.4"/>
        <n v="176.4"/>
        <n v="167.3"/>
        <n v="172.1"/>
        <n v="177.2"/>
        <n v="168"/>
        <n v="172.9"/>
        <n v="178.6"/>
        <n v="169.2"/>
        <n v="174.2"/>
        <n v="179.1"/>
        <n v="169.6"/>
        <n v="174.6"/>
        <n v="179.8"/>
        <n v="170.1"/>
        <n v="175.2"/>
      </sharedItems>
    </cacheField>
    <cacheField name="Fuel and light" numFmtId="0">
      <sharedItems containsSemiMixedTypes="0" containsString="0" containsNumber="1" minValue="0" maxValue="183.4" count="273">
        <n v="105.5"/>
        <n v="105.4"/>
        <n v="106.2"/>
        <n v="105.7"/>
        <n v="106"/>
        <n v="106.1"/>
        <n v="106.5"/>
        <n v="106.4"/>
        <n v="107.5"/>
        <n v="107.2"/>
        <n v="107.4"/>
        <n v="108.5"/>
        <n v="108"/>
        <n v="108.3"/>
        <n v="109.5"/>
        <n v="108.6"/>
        <n v="109.2"/>
        <n v="109.9"/>
        <n v="109.3"/>
        <n v="109.7"/>
        <n v="111.1"/>
        <n v="110.5"/>
        <n v="111.6"/>
        <n v="110.9"/>
        <n v="112.6"/>
        <n v="110"/>
        <n v="112.8"/>
        <n v="110.4"/>
        <n v="111.9"/>
        <n v="113"/>
        <n v="111"/>
        <n v="112.2"/>
        <n v="113.2"/>
        <n v="112.4"/>
        <n v="113.4"/>
        <n v="112.5"/>
        <n v="114.4"/>
        <n v="111.2"/>
        <n v="115.3"/>
        <n v="113.9"/>
        <n v="115.4"/>
        <n v="111.8"/>
        <n v="114"/>
        <n v="115.8"/>
        <n v="114.3"/>
        <n v="116.4"/>
        <n v="112"/>
        <n v="114.7"/>
        <n v="117.3"/>
        <n v="115.5"/>
        <n v="117.4"/>
        <n v="115.7"/>
        <n v="118.4"/>
        <n v="116.5"/>
        <n v="120"/>
        <n v="117.7"/>
        <n v="120.6"/>
        <n v="118.3"/>
        <n v="121.2"/>
        <n v="118.7"/>
        <n v="121.9"/>
        <n v="114.9"/>
        <n v="119.2"/>
        <n v="122.6"/>
        <n v="115.1"/>
        <n v="119.8"/>
        <n v="123"/>
        <n v="120.1"/>
        <n v="123.8"/>
        <n v="123.7"/>
        <n v="120.4"/>
        <n v="124.4"/>
        <n v="120.8"/>
        <n v="125.6"/>
        <n v="121.6"/>
        <n v="125.7"/>
        <n v="116"/>
        <n v="122"/>
        <n v="126.2"/>
        <n v="116.9"/>
        <n v="122.7"/>
        <n v="127.5"/>
        <n v="123.1"/>
        <n v="127"/>
        <n v="114.8"/>
        <n v="122.4"/>
        <n v="114.6"/>
        <n v="122.3"/>
        <n v="127.4"/>
        <n v="115"/>
        <n v="128"/>
        <n v="123.3"/>
        <n v="128.2"/>
        <n v="123.4"/>
        <n v="129.1"/>
        <n v="123.6"/>
        <n v="129.7"/>
        <n v="124.1"/>
        <n v="129.8"/>
        <n v="115.2"/>
        <n v="124.3"/>
        <n v="130.3"/>
        <n v="116.2"/>
        <n v="125"/>
        <n v="132"/>
        <n v="117.8"/>
        <n v="126.6"/>
        <n v="132.1"/>
        <n v="118"/>
        <n v="126.8"/>
        <n v="133.2"/>
        <n v="127.9"/>
        <n v="134.2"/>
        <n v="135"/>
        <n v="121.4"/>
        <n v="129.4"/>
        <n v="134.8"/>
        <n v="119"/>
        <n v="128.8"/>
        <n v="135.3"/>
        <n v="119.7"/>
        <n v="136.4"/>
        <n v="118.9"/>
        <n v="137.4"/>
        <n v="131"/>
        <n v="138.1"/>
        <n v="132.2"/>
        <n v="141.1"/>
        <n v="142.6"/>
        <n v="136.6"/>
        <n v="142.3"/>
        <n v="127.3"/>
        <n v="142.4"/>
        <n v="136.7"/>
        <n v="126.4"/>
        <n v="136.5"/>
        <n v="143.8"/>
        <n v="124.6"/>
        <n v="144.3"/>
        <n v="124.7"/>
        <n v="136.9"/>
        <n v="145.1"/>
        <n v="126.5"/>
        <n v="146.8"/>
        <n v="128.1"/>
        <n v="139.7"/>
        <n v="147.7"/>
        <n v="140.9"/>
        <n v="149"/>
        <n v="131.2"/>
        <n v="149.7"/>
        <n v="133.4"/>
        <n v="145.3"/>
        <n v="150.3"/>
        <n v="132.4"/>
        <n v="142.7"/>
        <n v="146.2"/>
        <n v="128.6"/>
        <n v="139.5"/>
        <n v="127.1"/>
        <n v="138.4"/>
        <n v="146.4"/>
        <n v="146.9"/>
        <n v="140.3"/>
        <n v="147.8"/>
        <n v="130.5"/>
        <n v="141.2"/>
        <n v="139.3"/>
        <n v="125.5"/>
        <n v="138.5"/>
        <n v="139.2"/>
        <n v="128.9"/>
        <n v="140.6"/>
        <n v="148.4"/>
        <n v="149.9"/>
        <n v="133.6"/>
        <n v="143.7"/>
        <n v="150.4"/>
        <n v="135.1"/>
        <n v="144.6"/>
        <n v="152.3"/>
        <n v="138.9"/>
        <n v="147.2"/>
        <n v="153.4"/>
        <n v="141.4"/>
        <n v="148.9"/>
        <n v="137.1"/>
        <n v="144.1"/>
        <n v="144.9"/>
        <n v="141.9"/>
        <n v="145.8"/>
        <n v="138.3"/>
        <n v="143"/>
        <n v="137.2"/>
        <n v="142.9"/>
        <n v="143.1"/>
        <n v="147.5"/>
        <n v="137.3"/>
        <n v="143.6"/>
        <n v="148.7"/>
        <n v="137.9"/>
        <n v="150.9"/>
        <n v="147.9"/>
        <n v="154.4"/>
        <n v="149.1"/>
        <n v="152.4"/>
        <n v="156"/>
        <n v="154.8"/>
        <n v="155.5"/>
        <n v="154.9"/>
        <n v="155.6"/>
        <n v="161.7"/>
        <n v="159.4"/>
        <n v="162.1"/>
        <n v="156.1"/>
        <n v="159.8"/>
        <n v="162.5"/>
        <n v="157.7"/>
        <n v="160.7"/>
        <n v="163.1"/>
        <n v="162.6"/>
        <n v="163.7"/>
        <n v="160.8"/>
        <n v="165.5"/>
        <n v="162.2"/>
        <n v="164.2"/>
        <n v="165.3"/>
        <n v="161.6"/>
        <n v="163.9"/>
        <n v="165.6"/>
        <n v="164.1"/>
        <n v="165.8"/>
        <n v="167.4"/>
        <n v="163"/>
        <n v="165.7"/>
        <n v="168.9"/>
        <n v="164.5"/>
        <n v="167.2"/>
        <n v="173.3"/>
        <n v="170.5"/>
        <n v="172.2"/>
        <n v="175.3"/>
        <n v="173.5"/>
        <n v="174.6"/>
        <n v="176.7"/>
        <n v="174.9"/>
        <n v="176"/>
        <n v="179.6"/>
        <n v="179.5"/>
        <n v="179.1"/>
        <n v="178.4"/>
        <n v="178.8"/>
        <n v="179.7"/>
        <n v="179.2"/>
        <n v="180.8"/>
        <n v="180"/>
        <n v="180.5"/>
        <n v="181.9"/>
        <n v="180.3"/>
        <n v="181.3"/>
        <n v="182.8"/>
        <n v="180.6"/>
        <n v="182"/>
        <n v="183.2"/>
        <n v="180.1"/>
        <n v="181.6"/>
        <n v="182.1"/>
        <n v="181.4"/>
        <n v="182.6"/>
        <n v="181.5"/>
        <n v="181.7"/>
        <n v="182.5"/>
        <n v="183.4"/>
      </sharedItems>
    </cacheField>
    <cacheField name="Essential Services" numFmtId="0">
      <sharedItems containsSemiMixedTypes="0" containsString="0" containsNumber="1" minValue="0" maxValue="537.9" count="343">
        <n v="310.6"/>
        <n v="310.5"/>
        <n v="311.8"/>
        <n v="311.3"/>
        <n v="311.6"/>
        <n v="312.1"/>
        <n v="313.1"/>
        <n v="313.4"/>
        <n v="313.3"/>
        <n v="314.8"/>
        <n v="316.6"/>
        <n v="322.3"/>
        <n v="322.5"/>
        <n v="318.5"/>
        <n v="324.4"/>
        <n v="325.1"/>
        <n v="327.5"/>
        <n v="326.9"/>
        <n v="327.3"/>
        <n v="330.4"/>
        <n v="328.8"/>
        <n v="329.8"/>
        <n v="332.5"/>
        <n v="331.7"/>
        <n v="335"/>
        <n v="332"/>
        <n v="333.8"/>
        <n v="335.6"/>
        <n v="332.4"/>
        <n v="334.3"/>
        <n v="337.2"/>
        <n v="334.5"/>
        <n v="336.1"/>
        <n v="338.6"/>
        <n v="336.2"/>
        <n v="337.7"/>
        <n v="340"/>
        <n v="337.1"/>
        <n v="338.9"/>
        <n v="341"/>
        <n v="338.2"/>
        <n v="341.8"/>
        <n v="339.5"/>
        <n v="340.9"/>
        <n v="343.2"/>
        <n v="339.4"/>
        <n v="341.7"/>
        <n v="345.5"/>
        <n v="341.3"/>
        <n v="343.9"/>
        <n v="346.8"/>
        <n v="342.6"/>
        <n v="345.1"/>
        <n v="348.6"/>
        <n v="343.4"/>
        <n v="346.5"/>
        <n v="350.6"/>
        <n v="344.5"/>
        <n v="348.1"/>
        <n v="352.5"/>
        <n v="346.1"/>
        <n v="349.9"/>
        <n v="352.1"/>
        <n v="346.3"/>
        <n v="349.7"/>
        <n v="354.6"/>
        <n v="347.9"/>
        <n v="351.9"/>
        <n v="357.7"/>
        <n v="349.8"/>
        <n v="354.5"/>
        <n v="359.4"/>
        <n v="351"/>
        <n v="356.1"/>
        <n v="361.3"/>
        <n v="352.3"/>
        <n v="357.6"/>
        <n v="363"/>
        <n v="353.2"/>
        <n v="359"/>
        <n v="364.4"/>
        <n v="353.3"/>
        <n v="359.9"/>
        <n v="365.9"/>
        <n v="354.7"/>
        <n v="368.4"/>
        <n v="356.2"/>
        <n v="363.5"/>
        <n v="369.8"/>
        <n v="357.1"/>
        <n v="364.6"/>
        <n v="371.9"/>
        <n v="358"/>
        <n v="366.2"/>
        <n v="374.1"/>
        <n v="367.9"/>
        <n v="368"/>
        <n v="376.2"/>
        <n v="361.9"/>
        <n v="370.3"/>
        <n v="379"/>
        <n v="362.2"/>
        <n v="372.1"/>
        <n v="379.6"/>
        <n v="362"/>
        <n v="372.4"/>
        <n v="380.6"/>
        <n v="373.4"/>
        <n v="381.9"/>
        <n v="364.2"/>
        <n v="374.7"/>
        <n v="382.8"/>
        <n v="375.2"/>
        <n v="384.6"/>
        <n v="365.4"/>
        <n v="376.7"/>
        <n v="387"/>
        <n v="378.3"/>
        <n v="388.7"/>
        <n v="367"/>
        <n v="379.9"/>
        <n v="390.3"/>
        <n v="381.4"/>
        <n v="391.5"/>
        <n v="370"/>
        <n v="382.7"/>
        <n v="393.4"/>
        <n v="371.3"/>
        <n v="384.3"/>
        <n v="394.9"/>
        <n v="372.7"/>
        <n v="385.8"/>
        <n v="397.3"/>
        <n v="375"/>
        <n v="388.1"/>
        <n v="399.4"/>
        <n v="377.5"/>
        <n v="401"/>
        <n v="379.1"/>
        <n v="391.9"/>
        <n v="402"/>
        <n v="378.7"/>
        <n v="392.4"/>
        <n v="401.4"/>
        <n v="377.2"/>
        <n v="391.4"/>
        <n v="404"/>
        <n v="379.5"/>
        <n v="393.9"/>
        <n v="408.1"/>
        <n v="381"/>
        <n v="397"/>
        <n v="411"/>
        <n v="384.4"/>
        <n v="400"/>
        <n v="413.8"/>
        <n v="388.2"/>
        <n v="403.1"/>
        <n v="419.1"/>
        <n v="393.1"/>
        <n v="408.3"/>
        <n v="421.2"/>
        <n v="395.2"/>
        <n v="410.4"/>
        <n v="422.5"/>
        <n v="397.2"/>
        <n v="411.9"/>
        <n v="423.6"/>
        <n v="398.5"/>
        <n v="413.2"/>
        <n v="424.5"/>
        <n v="399.2"/>
        <n v="414.1"/>
        <n v="427.6"/>
        <n v="399.3"/>
        <n v="416"/>
        <n v="429.3"/>
        <n v="400.4"/>
        <n v="417.5"/>
        <n v="429.8"/>
        <n v="402.1"/>
        <n v="418.5"/>
        <n v="433.5"/>
        <n v="405.3"/>
        <n v="421.9"/>
        <n v="436.1"/>
        <n v="408.8"/>
        <n v="424.9"/>
        <n v="438.3"/>
        <n v="411.4"/>
        <n v="427.3"/>
        <n v="443.5"/>
        <n v="414.8"/>
        <n v="434.4"/>
        <n v="445.2"/>
        <n v="419.4"/>
        <n v="434.2"/>
        <n v="445"/>
        <n v="415.1"/>
        <n v="432.4"/>
        <n v="444"/>
        <n v="412.6"/>
        <n v="430.8"/>
        <n v="443.9"/>
        <n v="412.2"/>
        <n v="430.6"/>
        <n v="445.4"/>
        <n v="414.6"/>
        <n v="432.5"/>
        <n v="446.5"/>
        <n v="416.7"/>
        <n v="434.1"/>
        <n v="446.8"/>
        <n v="417.3"/>
        <n v="447.4"/>
        <n v="415.3"/>
        <n v="448.2"/>
        <n v="415.2"/>
        <n v="434.6"/>
        <n v="449.4"/>
        <n v="417.1"/>
        <n v="436"/>
        <n v="451.3"/>
        <n v="420.6"/>
        <n v="438.6"/>
        <n v="452.8"/>
        <n v="424.8"/>
        <n v="441.1"/>
        <n v="453.9"/>
        <n v="426.2"/>
        <n v="442.3"/>
        <n v="456"/>
        <n v="429.1"/>
        <n v="444.7"/>
        <n v="458.9"/>
        <n v="448.4"/>
        <n v="459.4"/>
        <n v="436.7"/>
        <n v="449.8"/>
        <n v="450.2"/>
        <n v="437.2"/>
        <n v="432.2"/>
        <n v="443"/>
        <n v="453.2"/>
        <n v="446.9"/>
        <n v="454.3"/>
        <n v="438.9"/>
        <n v="447.9"/>
        <n v="455.3"/>
        <n v="438.7"/>
        <n v="448.3"/>
        <n v="458.3"/>
        <n v="440.4"/>
        <n v="450.8"/>
        <n v="460.5"/>
        <n v="441.8"/>
        <n v="452.7"/>
        <n v="462.5"/>
        <n v="446.3"/>
        <n v="455.6"/>
        <n v="469"/>
        <n v="455.4"/>
        <n v="463.1"/>
        <n v="470.7"/>
        <n v="461.9"/>
        <n v="466.6"/>
        <n v="472.9"/>
        <n v="463.9"/>
        <n v="468.8"/>
        <n v="482.1"/>
        <n v="467.2"/>
        <n v="475.7"/>
        <n v="481.8"/>
        <n v="466.4"/>
        <n v="475.1"/>
        <n v="484.3"/>
        <n v="469.9"/>
        <n v="478"/>
        <n v="486.1"/>
        <n v="476"/>
        <n v="482.2"/>
        <n v="487.1"/>
        <n v="476.2"/>
        <n v="491.1"/>
        <n v="480.1"/>
        <n v="486.2"/>
        <n v="492.4"/>
        <n v="481"/>
        <n v="487.4"/>
        <n v="492.9"/>
        <n v="481.1"/>
        <n v="487.7"/>
        <n v="495.2"/>
        <n v="482.9"/>
        <n v="489.8"/>
        <n v="498.6"/>
        <n v="485.9"/>
        <n v="493"/>
        <n v="500.7"/>
        <n v="488.4"/>
        <n v="495.3"/>
        <n v="508"/>
        <n v="497.3"/>
        <n v="503.2"/>
        <n v="511.7"/>
        <n v="502.1"/>
        <n v="507.3"/>
        <n v="513.8"/>
        <n v="503.8"/>
        <n v="509.2"/>
        <n v="518.7"/>
        <n v="510.4"/>
        <n v="514.8"/>
        <n v="520.4"/>
        <n v="511.6"/>
        <n v="516.3"/>
        <n v="522.8"/>
        <n v="513.7"/>
        <n v="518.5"/>
        <n v="526.4"/>
        <n v="517.2"/>
        <n v="522.1"/>
        <n v="529.2"/>
        <n v="519"/>
        <n v="524.5"/>
        <n v="529.9"/>
        <n v="518.6"/>
        <n v="524.8"/>
        <n v="532.5"/>
        <n v="520.2"/>
        <n v="527"/>
        <n v="533.7"/>
        <n v="525.5"/>
        <n v="529.8"/>
        <n v="533.5"/>
        <n v="525.3"/>
        <n v="529.6"/>
        <n v="535.8"/>
        <n v="526.9"/>
        <n v="531.5"/>
        <n v="537.9"/>
        <n v="529.1"/>
        <n v="533.6"/>
      </sharedItems>
    </cacheField>
    <cacheField name="Transport and communication" numFmtId="0">
      <sharedItems containsSemiMixedTypes="0" containsString="0" containsNumber="1" minValue="0" maxValue="169.7" count="253">
        <n v="103.3"/>
        <n v="103.2"/>
        <n v="103.9"/>
        <n v="104.4"/>
        <n v="104.2"/>
        <n v="104.6"/>
        <n v="105.5"/>
        <n v="105.1"/>
        <n v="105"/>
        <n v="104.7"/>
        <n v="104.1"/>
        <n v="104"/>
        <n v="105.2"/>
        <n v="106.8"/>
        <n v="107.3"/>
        <n v="107.1"/>
        <n v="107.8"/>
        <n v="108.1"/>
        <n v="108"/>
        <n v="109.3"/>
        <n v="110.4"/>
        <n v="109.9"/>
        <n v="109.7"/>
        <n v="109.5"/>
        <n v="109.6"/>
        <n v="109.8"/>
        <n v="110.5"/>
        <n v="110.8"/>
        <n v="110.7"/>
        <n v="111.3"/>
        <n v="111.1"/>
        <n v="111.2"/>
        <n v="111.6"/>
        <n v="111.4"/>
        <n v="112.2"/>
        <n v="111.5"/>
        <n v="111.8"/>
        <n v="113.2"/>
        <n v="113"/>
        <n v="113.1"/>
        <n v="112.5"/>
        <n v="112.8"/>
        <n v="112"/>
        <n v="112.6"/>
        <n v="111"/>
        <n v="108.8"/>
        <n v="110.1"/>
        <n v="107.9"/>
        <n v="109.4"/>
        <n v="110.9"/>
        <n v="108.7"/>
        <n v="108.4"/>
        <n v="111.9"/>
        <n v="113.3"/>
        <n v="114.2"/>
        <n v="111.7"/>
        <n v="112.9"/>
        <n v="114.1"/>
        <n v="112.7"/>
        <n v="113.6"/>
        <n v="113.8"/>
        <n v="109.1"/>
        <n v="114"/>
        <n v="108.9"/>
        <n v="113.9"/>
        <n v="108.5"/>
        <n v="114.4"/>
        <n v="110"/>
        <n v="112.1"/>
        <n v="115.1"/>
        <n v="116.3"/>
        <n v="112.3"/>
        <n v="116.4"/>
        <n v="116"/>
        <n v="117"/>
        <n v="114.3"/>
        <n v="117.8"/>
        <n v="115.2"/>
        <n v="118.2"/>
        <n v="113.4"/>
        <n v="115.7"/>
        <n v="118.6"/>
        <n v="113.7"/>
        <n v="119.1"/>
        <n v="119.5"/>
        <n v="115.5"/>
        <n v="117.4"/>
        <n v="119.8"/>
        <n v="115.6"/>
        <n v="117.6"/>
        <n v="119.2"/>
        <n v="116.6"/>
        <n v="119.4"/>
        <n v="116.7"/>
        <n v="116.5"/>
        <n v="120.3"/>
        <n v="114.6"/>
        <n v="117.3"/>
        <n v="121.2"/>
        <n v="118.3"/>
        <n v="121"/>
        <n v="115"/>
        <n v="121.6"/>
        <n v="115.3"/>
        <n v="122"/>
        <n v="118.5"/>
        <n v="122.7"/>
        <n v="119.3"/>
        <n v="123.3"/>
        <n v="120.2"/>
        <n v="124.6"/>
        <n v="125.3"/>
        <n v="118.9"/>
        <n v="121.9"/>
        <n v="126.4"/>
        <n v="122.9"/>
        <n v="127.4"/>
        <n v="120.4"/>
        <n v="123.7"/>
        <n v="127.5"/>
        <n v="120.1"/>
        <n v="123.6"/>
        <n v="128.3"/>
        <n v="120.7"/>
        <n v="124.3"/>
        <n v="129.9"/>
        <n v="122.5"/>
        <n v="126"/>
        <n v="130.8"/>
        <n v="125.5"/>
        <n v="130.3"/>
        <n v="128.9"/>
        <n v="118.8"/>
        <n v="128.6"/>
        <n v="129.2"/>
        <n v="123.9"/>
        <n v="119.9"/>
        <n v="130.2"/>
        <n v="124.9"/>
        <n v="119.6"/>
        <n v="131.2"/>
        <n v="120.6"/>
        <n v="125.6"/>
        <n v="131.4"/>
        <n v="120.8"/>
        <n v="125.8"/>
        <n v="131.6"/>
        <n v="126.1"/>
        <n v="131.7"/>
        <n v="121.5"/>
        <n v="126.3"/>
        <n v="132.1"/>
        <n v="121.7"/>
        <n v="126.6"/>
        <n v="135"/>
        <n v="125.2"/>
        <n v="129.8"/>
        <n v="136.3"/>
        <n v="130.9"/>
        <n v="136"/>
        <n v="135.8"/>
        <n v="130.1"/>
        <n v="128.2"/>
        <n v="129.4"/>
        <n v="141.4"/>
        <n v="129.3"/>
        <n v="143.6"/>
        <n v="133.9"/>
        <n v="138.5"/>
        <n v="144.6"/>
        <n v="135.1"/>
        <n v="139.6"/>
        <n v="146.4"/>
        <n v="135.4"/>
        <n v="140.6"/>
        <n v="146.1"/>
        <n v="135.2"/>
        <n v="140.4"/>
        <n v="135.5"/>
        <n v="140.7"/>
        <n v="147.5"/>
        <n v="136.9"/>
        <n v="141.9"/>
        <n v="150.2"/>
        <n v="140.5"/>
        <n v="145.1"/>
        <n v="151.3"/>
        <n v="141.7"/>
        <n v="146.2"/>
        <n v="151.7"/>
        <n v="142.1"/>
        <n v="146.6"/>
        <n v="153.2"/>
        <n v="145"/>
        <n v="148.9"/>
        <n v="154.2"/>
        <n v="150.7"/>
        <n v="157.1"/>
        <n v="149.5"/>
        <n v="153.1"/>
        <n v="157.7"/>
        <n v="150.4"/>
        <n v="154"/>
        <n v="157.8"/>
        <n v="150.5"/>
        <n v="159.5"/>
        <n v="152.2"/>
        <n v="155.7"/>
        <n v="158.9"/>
        <n v="151.2"/>
        <n v="154.8"/>
        <n v="160.1"/>
        <n v="151.8"/>
        <n v="160.8"/>
        <n v="152.7"/>
        <n v="156.5"/>
        <n v="161.2"/>
        <n v="156.9"/>
        <n v="162"/>
        <n v="157.9"/>
        <n v="166.2"/>
        <n v="159.3"/>
        <n v="162.6"/>
        <n v="167.1"/>
        <n v="159.4"/>
        <n v="163"/>
        <n v="165.5"/>
        <n v="157.2"/>
        <n v="161.1"/>
        <n v="166.3"/>
        <n v="157.4"/>
        <n v="161.6"/>
        <n v="166.6"/>
        <n v="161.9"/>
        <n v="166.9"/>
        <n v="158.2"/>
        <n v="162.3"/>
        <n v="167.4"/>
        <n v="158.8"/>
        <n v="162.9"/>
        <n v="167.5"/>
        <n v="167.8"/>
        <n v="163.4"/>
        <n v="168.2"/>
        <n v="163.6"/>
        <n v="169"/>
        <n v="159.8"/>
        <n v="164.2"/>
        <n v="169.4"/>
        <n v="164.5"/>
        <n v="169.7"/>
        <n v="160.4"/>
        <n v="164.8"/>
      </sharedItems>
    </cacheField>
    <cacheField name="Personal care and effects" numFmtId="0">
      <sharedItems containsSemiMixedTypes="0" containsString="0" containsNumber="1" minValue="0" maxValue="185.6" count="281">
        <n v="104.7"/>
        <n v="104.3"/>
        <n v="104.5"/>
        <n v="104.6"/>
        <n v="104.2"/>
        <n v="102.7"/>
        <n v="103.2"/>
        <n v="102.9"/>
        <n v="102.1"/>
        <n v="102.6"/>
        <n v="102.3"/>
        <n v="102.5"/>
        <n v="103.3"/>
        <n v="102.8"/>
        <n v="105"/>
        <n v="106"/>
        <n v="105.4"/>
        <n v="106.7"/>
        <n v="106.9"/>
        <n v="106.8"/>
        <n v="107.5"/>
        <n v="107.3"/>
        <n v="107.4"/>
        <n v="108.2"/>
        <n v="107.9"/>
        <n v="108.1"/>
        <n v="107.7"/>
        <n v="108.3"/>
        <n v="108"/>
        <n v="108.7"/>
        <n v="108.9"/>
        <n v="109.2"/>
        <n v="109"/>
        <n v="109.1"/>
        <n v="109.3"/>
        <n v="108.8"/>
        <n v="109.7"/>
        <n v="109.4"/>
        <n v="110.5"/>
        <n v="109.9"/>
        <n v="110"/>
        <n v="109.5"/>
        <n v="110.1"/>
        <n v="109.6"/>
        <n v="110.4"/>
        <n v="109.8"/>
        <n v="110.2"/>
        <n v="111.4"/>
        <n v="110.7"/>
        <n v="110.8"/>
        <n v="111.7"/>
        <n v="111.2"/>
        <n v="111.3"/>
        <n v="111"/>
        <n v="111.6"/>
        <n v="111.8"/>
        <n v="112.3"/>
        <n v="112.4"/>
        <n v="113"/>
        <n v="112.5"/>
        <n v="112.8"/>
        <n v="112.7"/>
        <n v="112"/>
        <n v="113.7"/>
        <n v="112.9"/>
        <n v="113.4"/>
        <n v="114.2"/>
        <n v="113.5"/>
        <n v="113.9"/>
        <n v="113.3"/>
        <n v="113.8"/>
        <n v="114.1"/>
        <n v="113.2"/>
        <n v="114.9"/>
        <n v="114"/>
        <n v="114.5"/>
        <n v="116.8"/>
        <n v="116.2"/>
        <n v="116.6"/>
        <n v="117.4"/>
        <n v="117.1"/>
        <n v="117.3"/>
        <n v="118.4"/>
        <n v="117.6"/>
        <n v="118.1"/>
        <n v="119.7"/>
        <n v="118.5"/>
        <n v="119.2"/>
        <n v="119.9"/>
        <n v="118.8"/>
        <n v="119.4"/>
        <n v="120.9"/>
        <n v="120"/>
        <n v="120.5"/>
        <n v="122"/>
        <n v="121.5"/>
        <n v="122.8"/>
        <n v="121.2"/>
        <n v="122.1"/>
        <n v="123"/>
        <n v="120.8"/>
        <n v="123.5"/>
        <n v="121.3"/>
        <n v="122.6"/>
        <n v="121.9"/>
        <n v="121.1"/>
        <n v="122.3"/>
        <n v="121.7"/>
        <n v="123.2"/>
        <n v="123.3"/>
        <n v="123.7"/>
        <n v="122.2"/>
        <n v="123.1"/>
        <n v="124.1"/>
        <n v="122.5"/>
        <n v="123.4"/>
        <n v="124.4"/>
        <n v="122.4"/>
        <n v="123.6"/>
        <n v="125.4"/>
        <n v="124.5"/>
        <n v="126.7"/>
        <n v="125.7"/>
        <n v="127.4"/>
        <n v="124.6"/>
        <n v="126.2"/>
        <n v="128.1"/>
        <n v="124.9"/>
        <n v="126.8"/>
        <n v="127.8"/>
        <n v="126.5"/>
        <n v="128.6"/>
        <n v="125.5"/>
        <n v="127.3"/>
        <n v="128.8"/>
        <n v="127.7"/>
        <n v="129.3"/>
        <n v="128.2"/>
        <n v="130.4"/>
        <n v="127.6"/>
        <n v="129.2"/>
        <n v="131.2"/>
        <n v="129.9"/>
        <n v="131.4"/>
        <n v="130.1"/>
        <n v="131.3"/>
        <n v="128.3"/>
        <n v="132"/>
        <n v="130.9"/>
        <n v="134.4"/>
        <n v="133.1"/>
        <n v="130.5"/>
        <n v="133.2"/>
        <n v="130.8"/>
        <n v="132.2"/>
        <n v="133.5"/>
        <n v="131.7"/>
        <n v="132.8"/>
        <n v="134.9"/>
        <n v="133"/>
        <n v="134.1"/>
        <n v="134"/>
        <n v="132.5"/>
        <n v="133.4"/>
        <n v="133.9"/>
        <n v="132.6"/>
        <n v="134.8"/>
        <n v="133.7"/>
        <n v="134.3"/>
        <n v="136.1"/>
        <n v="135.1"/>
        <n v="135.7"/>
        <n v="138.8"/>
        <n v="137.8"/>
        <n v="138.4"/>
        <n v="140.2"/>
        <n v="139"/>
        <n v="139.7"/>
        <n v="140.3"/>
        <n v="139.5"/>
        <n v="140"/>
        <n v="140.6"/>
        <n v="139.8"/>
        <n v="140.4"/>
        <n v="142.5"/>
        <n v="142.1"/>
        <n v="142.3"/>
        <n v="143.4"/>
        <n v="143.5"/>
        <n v="145.1"/>
        <n v="145.3"/>
        <n v="145.2"/>
        <n v="151.2"/>
        <n v="152.2"/>
        <n v="151.6"/>
        <n v="153.6"/>
        <n v="155.2"/>
        <n v="154.3"/>
        <n v="157.4"/>
        <n v="159.8"/>
        <n v="158.4"/>
        <n v="156.2"/>
        <n v="158.1"/>
        <n v="157"/>
        <n v="157.9"/>
        <n v="156.9"/>
        <n v="156.6"/>
        <n v="157.1"/>
        <n v="157.7"/>
        <n v="156.8"/>
        <n v="156.7"/>
        <n v="155.8"/>
        <n v="153.1"/>
        <n v="154.9"/>
        <n v="153.8"/>
        <n v="154.6"/>
        <n v="155.4"/>
        <n v="159.3"/>
        <n v="157.5"/>
        <n v="158.6"/>
        <n v="159.4"/>
        <n v="158"/>
        <n v="158.8"/>
        <n v="160.4"/>
        <n v="159.6"/>
        <n v="160.1"/>
        <n v="160.3"/>
        <n v="160"/>
        <n v="160.2"/>
        <n v="161.1"/>
        <n v="160.8"/>
        <n v="162.4"/>
        <n v="161.8"/>
        <n v="162.2"/>
        <n v="162.8"/>
        <n v="162.6"/>
        <n v="163.2"/>
        <n v="163"/>
        <n v="164.5"/>
        <n v="164.2"/>
        <n v="164.4"/>
        <n v="167.4"/>
        <n v="166.8"/>
        <n v="167.2"/>
        <n v="169"/>
        <n v="168.4"/>
        <n v="168.8"/>
        <n v="168.5"/>
        <n v="168.2"/>
        <n v="169.5"/>
        <n v="169.2"/>
        <n v="169.4"/>
        <n v="169.7"/>
        <n v="169.8"/>
        <n v="171.1"/>
        <n v="171.4"/>
        <n v="171.2"/>
        <n v="170.8"/>
        <n v="170.9"/>
        <n v="172"/>
        <n v="172.3"/>
        <n v="172.1"/>
        <n v="173.4"/>
        <n v="173.8"/>
        <n v="173.6"/>
        <n v="175.7"/>
        <n v="176"/>
        <n v="175.8"/>
        <n v="178.4"/>
        <n v="178.8"/>
        <n v="178.6"/>
        <n v="180.7"/>
        <n v="181.4"/>
        <n v="181"/>
        <n v="181.5"/>
        <n v="183.8"/>
        <n v="184.4"/>
        <n v="184"/>
        <n v="184.9"/>
        <n v="185.6"/>
        <n v="185.2"/>
      </sharedItems>
    </cacheField>
    <cacheField name="Health" numFmtId="0">
      <sharedItems containsSemiMixedTypes="0" containsString="0" containsNumber="1" minValue="0" maxValue="187.8" count="306">
        <n v="104"/>
        <n v="104.1"/>
        <n v="104.4"/>
        <n v="104.7"/>
        <n v="104.5"/>
        <n v="105.2"/>
        <n v="104.9"/>
        <n v="105.1"/>
        <n v="105.7"/>
        <n v="105.3"/>
        <n v="106.2"/>
        <n v="105.9"/>
        <n v="106.3"/>
        <n v="106.5"/>
        <n v="106.4"/>
        <n v="106.9"/>
        <n v="107.1"/>
        <n v="107"/>
        <n v="107.5"/>
        <n v="107.6"/>
        <n v="108.3"/>
        <n v="107.9"/>
        <n v="108.1"/>
        <n v="108.9"/>
        <n v="108.2"/>
        <n v="108.6"/>
        <n v="109.7"/>
        <n v="109.3"/>
        <n v="110.1"/>
        <n v="109"/>
        <n v="110.6"/>
        <n v="110.3"/>
        <n v="110.9"/>
        <n v="110.4"/>
        <n v="110.7"/>
        <n v="111.4"/>
        <n v="110.8"/>
        <n v="111.2"/>
        <n v="111.8"/>
        <n v="111"/>
        <n v="111.5"/>
        <n v="112.1"/>
        <n v="112.8"/>
        <n v="112.3"/>
        <n v="113.4"/>
        <n v="112.7"/>
        <n v="114"/>
        <n v="112.2"/>
        <n v="113.3"/>
        <n v="114.5"/>
        <n v="113.7"/>
        <n v="115.3"/>
        <n v="112.6"/>
        <n v="114.3"/>
        <n v="115.9"/>
        <n v="113"/>
        <n v="114.8"/>
        <n v="116.2"/>
        <n v="113.2"/>
        <n v="115.1"/>
        <n v="116.6"/>
        <n v="115.5"/>
        <n v="117.7"/>
        <n v="114.1"/>
        <n v="116.3"/>
        <n v="118.2"/>
        <n v="116.7"/>
        <n v="118.6"/>
        <n v="114.6"/>
        <n v="117.1"/>
        <n v="119.4"/>
        <n v="114.9"/>
        <n v="120.4"/>
        <n v="115.4"/>
        <n v="118.5"/>
        <n v="120.8"/>
        <n v="116"/>
        <n v="119"/>
        <n v="121.1"/>
        <n v="121.4"/>
        <n v="119.8"/>
        <n v="122"/>
        <n v="122.6"/>
        <n v="118.1"/>
        <n v="120.9"/>
        <n v="123.1"/>
        <n v="123.7"/>
        <n v="119.1"/>
        <n v="124.3"/>
        <n v="119.5"/>
        <n v="122.5"/>
        <n v="124.8"/>
        <n v="119.7"/>
        <n v="122.9"/>
        <n v="125.2"/>
        <n v="120"/>
        <n v="123.2"/>
        <n v="125.8"/>
        <n v="120.3"/>
        <n v="126.2"/>
        <n v="120.6"/>
        <n v="124.1"/>
        <n v="126.7"/>
        <n v="124.5"/>
        <n v="127"/>
        <n v="121.2"/>
        <n v="127.8"/>
        <n v="125.4"/>
        <n v="128.7"/>
        <n v="121.8"/>
        <n v="126.1"/>
        <n v="129.1"/>
        <n v="122.1"/>
        <n v="126.4"/>
        <n v="129.7"/>
        <n v="122.3"/>
        <n v="126.9"/>
        <n v="129.9"/>
        <n v="127.1"/>
        <n v="130.1"/>
        <n v="127.4"/>
        <n v="130.6"/>
        <n v="131"/>
        <n v="123.4"/>
        <n v="128.1"/>
        <n v="131.4"/>
        <n v="123.6"/>
        <n v="128.4"/>
        <n v="131.3"/>
        <n v="123.8"/>
        <n v="128.5"/>
        <n v="132.1"/>
        <n v="125"/>
        <n v="129.4"/>
        <n v="133"/>
        <n v="125.7"/>
        <n v="130.2"/>
        <n v="133.4"/>
        <n v="134.2"/>
        <n v="126.6"/>
        <n v="135.8"/>
        <n v="132.6"/>
        <n v="136.1"/>
        <n v="128.2"/>
        <n v="133.1"/>
        <n v="136"/>
        <n v="129"/>
        <n v="133.3"/>
        <n v="136.2"/>
        <n v="129.8"/>
        <n v="133.8"/>
        <n v="136.7"/>
        <n v="130.5"/>
        <n v="134.3"/>
        <n v="137.6"/>
        <n v="135.2"/>
        <n v="138.4"/>
        <n v="132"/>
        <n v="139"/>
        <n v="133.6"/>
        <n v="137"/>
        <n v="139.4"/>
        <n v="134.9"/>
        <n v="137.7"/>
        <n v="140"/>
        <n v="135.7"/>
        <n v="144.8"/>
        <n v="142.1"/>
        <n v="145.4"/>
        <n v="136.8"/>
        <n v="149.6"/>
        <n v="137.3"/>
        <n v="144.9"/>
        <n v="137.8"/>
        <n v="145.1"/>
        <n v="149.9"/>
        <n v="138.5"/>
        <n v="145.6"/>
        <n v="150.4"/>
        <n v="139.2"/>
        <n v="146.2"/>
        <n v="151.3"/>
        <n v="139.8"/>
        <n v="146.9"/>
        <n v="151.7"/>
        <n v="140.3"/>
        <n v="147.4"/>
        <n v="152.2"/>
        <n v="140.8"/>
        <n v="147.9"/>
        <n v="152.7"/>
        <n v="141.5"/>
        <n v="148.5"/>
        <n v="153.4"/>
        <n v="141.9"/>
        <n v="149"/>
        <n v="153.7"/>
        <n v="142.4"/>
        <n v="149.4"/>
        <n v="154.3"/>
        <n v="142.8"/>
        <n v="154.8"/>
        <n v="143.2"/>
        <n v="155.7"/>
        <n v="143.8"/>
        <n v="151.2"/>
        <n v="156.2"/>
        <n v="144.4"/>
        <n v="156.7"/>
        <n v="145"/>
        <n v="152.3"/>
        <n v="150.7"/>
        <n v="158.2"/>
        <n v="148.1"/>
        <n v="154.4"/>
        <n v="158.8"/>
        <n v="148.7"/>
        <n v="155"/>
        <n v="159.1"/>
        <n v="150"/>
        <n v="155.6"/>
        <n v="159.5"/>
        <n v="151"/>
        <n v="156.3"/>
        <n v="160.4"/>
        <n v="152"/>
        <n v="157.2"/>
        <n v="161.6"/>
        <n v="152.9"/>
        <n v="158.3"/>
        <n v="162.5"/>
        <n v="154.1"/>
        <n v="159.3"/>
        <n v="164.3"/>
        <n v="161.3"/>
        <n v="164.6"/>
        <n v="156.9"/>
        <n v="161.7"/>
        <n v="165.3"/>
        <n v="157.5"/>
        <n v="162.3"/>
        <n v="169.1"/>
        <n v="165.8"/>
        <n v="169.7"/>
        <n v="160.8"/>
        <n v="166.3"/>
        <n v="170.4"/>
        <n v="161.5"/>
        <n v="167"/>
        <n v="171.1"/>
        <n v="162.8"/>
        <n v="168.4"/>
        <n v="171.9"/>
        <n v="172.5"/>
        <n v="163.5"/>
        <n v="173.4"/>
        <n v="164.2"/>
        <n v="169.9"/>
        <n v="174"/>
        <n v="165.1"/>
        <n v="170.6"/>
        <n v="174.7"/>
        <n v="166.1"/>
        <n v="171.4"/>
        <n v="175.3"/>
        <n v="167.2"/>
        <n v="172.2"/>
        <n v="176"/>
        <n v="168.2"/>
        <n v="173"/>
        <n v="177"/>
        <n v="169"/>
        <n v="177.7"/>
        <n v="170.1"/>
        <n v="174.8"/>
        <n v="178.2"/>
        <n v="170.9"/>
        <n v="175.4"/>
        <n v="178.8"/>
        <n v="171.7"/>
        <n v="176.1"/>
        <n v="179.4"/>
        <n v="172.6"/>
        <n v="176.8"/>
        <n v="180.2"/>
        <n v="173.8"/>
        <n v="177.8"/>
        <n v="181.2"/>
        <n v="178.7"/>
        <n v="182.3"/>
        <n v="175.8"/>
        <n v="179.8"/>
        <n v="183.5"/>
        <n v="177.2"/>
        <n v="181.1"/>
        <n v="184.7"/>
        <n v="178.5"/>
        <n v="186.6"/>
        <n v="180.8"/>
        <n v="184.4"/>
        <n v="187.2"/>
        <n v="181.5"/>
        <n v="185"/>
        <n v="187.8"/>
        <n v="182.2"/>
        <n v="185.7"/>
      </sharedItems>
    </cacheField>
    <cacheField name="HealthCare" numFmtId="0">
      <sharedItems containsSemiMixedTypes="0" containsString="0" containsNumber="1" minValue="0" maxValue="372.7" count="320">
        <n v="208.7"/>
        <n v="208.4"/>
        <n v="208.5"/>
        <n v="209"/>
        <n v="209.4"/>
        <n v="209.2"/>
        <n v="207.8"/>
        <n v="208.9"/>
        <n v="208.2"/>
        <n v="208.8"/>
        <n v="209.8"/>
        <n v="210.3"/>
        <n v="212.5"/>
        <n v="213.6"/>
        <n v="212.9"/>
        <n v="215"/>
        <n v="214.8"/>
        <n v="214.9"/>
        <n v="216.4"/>
        <n v="215.5"/>
        <n v="216"/>
        <n v="217.9"/>
        <n v="216.5"/>
        <n v="217.4"/>
        <n v="218.2"/>
        <n v="216.7"/>
        <n v="217.6"/>
        <n v="218.9"/>
        <n v="217.7"/>
        <n v="218.5"/>
        <n v="219.6"/>
        <n v="219.1"/>
        <n v="219.4"/>
        <n v="220.3"/>
        <n v="220"/>
        <n v="220.2"/>
        <n v="220.7"/>
        <n v="220.1"/>
        <n v="220.5"/>
        <n v="221"/>
        <n v="220.9"/>
        <n v="220.8"/>
        <n v="220.6"/>
        <n v="222.2"/>
        <n v="221.2"/>
        <n v="221.9"/>
        <n v="223.4"/>
        <n v="222.7"/>
        <n v="223.2"/>
        <n v="223.6"/>
        <n v="222.3"/>
        <n v="224.6"/>
        <n v="223.9"/>
        <n v="224.7"/>
        <n v="222.6"/>
        <n v="225.6"/>
        <n v="224.9"/>
        <n v="226.8"/>
        <n v="225.1"/>
        <n v="226.2"/>
        <n v="228.5"/>
        <n v="225.8"/>
        <n v="227.5"/>
        <n v="229"/>
        <n v="227.7"/>
        <n v="230.2"/>
        <n v="226.4"/>
        <n v="228.8"/>
        <n v="231.7"/>
        <n v="227.3"/>
        <n v="230"/>
        <n v="233.4"/>
        <n v="227.9"/>
        <n v="231.3"/>
        <n v="233.5"/>
        <n v="233.6"/>
        <n v="228.6"/>
        <n v="235.1"/>
        <n v="233.2"/>
        <n v="236.2"/>
        <n v="231.2"/>
        <n v="234.3"/>
        <n v="236.8"/>
        <n v="231.4"/>
        <n v="234.7"/>
        <n v="237.2"/>
        <n v="231.8"/>
        <n v="238.6"/>
        <n v="233.1"/>
        <n v="236.5"/>
        <n v="241.1"/>
        <n v="235.7"/>
        <n v="239.1"/>
        <n v="242.2"/>
        <n v="240.2"/>
        <n v="243.6"/>
        <n v="237.6"/>
        <n v="241.3"/>
        <n v="245.5"/>
        <n v="238.8"/>
        <n v="242.9"/>
        <n v="246.1"/>
        <n v="239.4"/>
        <n v="243.5"/>
        <n v="247.6"/>
        <n v="240.9"/>
        <n v="245"/>
        <n v="249"/>
        <n v="242.1"/>
        <n v="246.3"/>
        <n v="250.6"/>
        <n v="242.6"/>
        <n v="247.5"/>
        <n v="251.7"/>
        <n v="248.2"/>
        <n v="252.6"/>
        <n v="243.4"/>
        <n v="251.6"/>
        <n v="248"/>
        <n v="252.2"/>
        <n v="248.8"/>
        <n v="253.3"/>
        <n v="244.6"/>
        <n v="250"/>
        <n v="253.9"/>
        <n v="244.8"/>
        <n v="250.4"/>
        <n v="254.7"/>
        <n v="245.6"/>
        <n v="251.2"/>
        <n v="255.1"/>
        <n v="251.4"/>
        <n v="255.4"/>
        <n v="251.9"/>
        <n v="256.5"/>
        <n v="247.4"/>
        <n v="253"/>
        <n v="258.4"/>
        <n v="260.1"/>
        <n v="250.5"/>
        <n v="256.3"/>
        <n v="261.6"/>
        <n v="257.5"/>
        <n v="263.9"/>
        <n v="252.3"/>
        <n v="259.4"/>
        <n v="252.8"/>
        <n v="259.6"/>
        <n v="264.6"/>
        <n v="254.5"/>
        <n v="260.6"/>
        <n v="265"/>
        <n v="256"/>
        <n v="261.5"/>
        <n v="266"/>
        <n v="257.2"/>
        <n v="262.5"/>
        <n v="268"/>
        <n v="258.9"/>
        <n v="264.4"/>
        <n v="269.6"/>
        <n v="265.9"/>
        <n v="269.8"/>
        <n v="260.8"/>
        <n v="266.3"/>
        <n v="270.4"/>
        <n v="261.8"/>
        <n v="267.1"/>
        <n v="270.7"/>
        <n v="263.2"/>
        <n v="267.8"/>
        <n v="272"/>
        <n v="269.3"/>
        <n v="279.2"/>
        <n v="266.6"/>
        <n v="274.1"/>
        <n v="278.5"/>
        <n v="267.3"/>
        <n v="282.8"/>
        <n v="268.1"/>
        <n v="277.1"/>
        <n v="283.1"/>
        <n v="269.5"/>
        <n v="277.9"/>
        <n v="284.8"/>
        <n v="271.5"/>
        <n v="279.7"/>
        <n v="284.4"/>
        <n v="271.7"/>
        <n v="279.6"/>
        <n v="285.2"/>
        <n v="272.4"/>
        <n v="280.3"/>
        <n v="286.5"/>
        <n v="274"/>
        <n v="281.7"/>
        <n v="288.3"/>
        <n v="275.9"/>
        <n v="283.6"/>
        <n v="291.5"/>
        <n v="279.3"/>
        <n v="286.9"/>
        <n v="293.6"/>
        <n v="280.9"/>
        <n v="288.7"/>
        <n v="294"/>
        <n v="281.9"/>
        <n v="289.4"/>
        <n v="294.9"/>
        <n v="282.6"/>
        <n v="290.2"/>
        <n v="295.4"/>
        <n v="283.4"/>
        <n v="290.8"/>
        <n v="298.2"/>
        <n v="285.9"/>
        <n v="293.5"/>
        <n v="299.6"/>
        <n v="287.9"/>
        <n v="295.1"/>
        <n v="301.8"/>
        <n v="290.3"/>
        <n v="297.5"/>
        <n v="299.5"/>
        <n v="290"/>
        <n v="295.9"/>
        <n v="309.4"/>
        <n v="300.3"/>
        <n v="306"/>
        <n v="312.4"/>
        <n v="303.9"/>
        <n v="309.3"/>
        <n v="316.5"/>
        <n v="309.8"/>
        <n v="314"/>
        <n v="315.7"/>
        <n v="309.1"/>
        <n v="313.3"/>
        <n v="316.6"/>
        <n v="309.9"/>
        <n v="314.1"/>
        <n v="318.2"/>
        <n v="310.8"/>
        <n v="315.4"/>
        <n v="318.7"/>
        <n v="311.8"/>
        <n v="316.1"/>
        <n v="319.5"/>
        <n v="313"/>
        <n v="317.1"/>
        <n v="317.7"/>
        <n v="315.5"/>
        <n v="319.9"/>
        <n v="328.4"/>
        <n v="317.9"/>
        <n v="324.4"/>
        <n v="329.1"/>
        <n v="318.8"/>
        <n v="325.1"/>
        <n v="330.8"/>
        <n v="321.1"/>
        <n v="327.1"/>
        <n v="331.4"/>
        <n v="322.4"/>
        <n v="332.1"/>
        <n v="333.6"/>
        <n v="323.8"/>
        <n v="329.9"/>
        <n v="335.8"/>
        <n v="326"/>
        <n v="336.8"/>
        <n v="327.5"/>
        <n v="333.2"/>
        <n v="337.9"/>
        <n v="328.9"/>
        <n v="334.4"/>
        <n v="339.8"/>
        <n v="336.6"/>
        <n v="343.4"/>
        <n v="335"/>
        <n v="340.2"/>
        <n v="346"/>
        <n v="337.4"/>
        <n v="342.8"/>
        <n v="346.2"/>
        <n v="338.3"/>
        <n v="343.2"/>
        <n v="347.7"/>
        <n v="340.1"/>
        <n v="344.8"/>
        <n v="348.5"/>
        <n v="341.5"/>
        <n v="345.8"/>
        <n v="350.5"/>
        <n v="344"/>
        <n v="348"/>
        <n v="351"/>
        <n v="344.9"/>
        <n v="348.7"/>
        <n v="353.2"/>
        <n v="347"/>
        <n v="350.8"/>
        <n v="355.7"/>
        <n v="349.6"/>
        <n v="353.4"/>
        <n v="359.2"/>
        <n v="356.9"/>
        <n v="363.1"/>
        <n v="357.3"/>
        <n v="360.9"/>
        <n v="367.3"/>
        <n v="362.2"/>
        <n v="365.4"/>
        <n v="362.3"/>
        <n v="371"/>
        <n v="365.9"/>
        <n v="369"/>
        <n v="372.7"/>
        <n v="367.8"/>
        <n v="370.9"/>
      </sharedItems>
    </cacheField>
    <cacheField name="Education" numFmtId="0">
      <sharedItems containsSemiMixedTypes="0" containsString="0" containsNumber="1" minValue="0" maxValue="180.3" count="292">
        <n v="103.8"/>
        <n v="103.5"/>
        <n v="103.6"/>
        <n v="104.1"/>
        <n v="103.7"/>
        <n v="103.9"/>
        <n v="104.3"/>
        <n v="104"/>
        <n v="104.8"/>
        <n v="105.2"/>
        <n v="105"/>
        <n v="105.5"/>
        <n v="105.7"/>
        <n v="105.6"/>
        <n v="106.5"/>
        <n v="108.1"/>
        <n v="107.4"/>
        <n v="107.8"/>
        <n v="110.1"/>
        <n v="109.1"/>
        <n v="108.7"/>
        <n v="110.8"/>
        <n v="109.9"/>
        <n v="109.8"/>
        <n v="111.2"/>
        <n v="110.6"/>
        <n v="110.2"/>
        <n v="111.3"/>
        <n v="111"/>
        <n v="111.6"/>
        <n v="111.4"/>
        <n v="111.5"/>
        <n v="111.8"/>
        <n v="112"/>
        <n v="112.4"/>
        <n v="113"/>
        <n v="112.5"/>
        <n v="112.7"/>
        <n v="113.1"/>
        <n v="112.9"/>
        <n v="114.3"/>
        <n v="115.1"/>
        <n v="114.8"/>
        <n v="115.5"/>
        <n v="117.8"/>
        <n v="116.8"/>
        <n v="116.2"/>
        <n v="119.2"/>
        <n v="118"/>
        <n v="116.6"/>
        <n v="120"/>
        <n v="118.6"/>
        <n v="116.9"/>
        <n v="120.2"/>
        <n v="118.8"/>
        <n v="117.2"/>
        <n v="120.3"/>
        <n v="119"/>
        <n v="117.7"/>
        <n v="120.7"/>
        <n v="119.5"/>
        <n v="118.2"/>
        <n v="120.8"/>
        <n v="119.7"/>
        <n v="118.7"/>
        <n v="120.4"/>
        <n v="119.4"/>
        <n v="120.6"/>
        <n v="120.1"/>
        <n v="119.9"/>
        <n v="121.7"/>
        <n v="121"/>
        <n v="120.5"/>
        <n v="122"/>
        <n v="121.4"/>
        <n v="123.8"/>
        <n v="123.1"/>
        <n v="122.9"/>
        <n v="125.4"/>
        <n v="124.4"/>
        <n v="123.6"/>
        <n v="126.2"/>
        <n v="125.1"/>
        <n v="124.5"/>
        <n v="126.5"/>
        <n v="125.7"/>
        <n v="125.9"/>
        <n v="125.8"/>
        <n v="126.6"/>
        <n v="126.3"/>
        <n v="125.6"/>
        <n v="126.4"/>
        <n v="127.1"/>
        <n v="127.5"/>
        <n v="126.9"/>
        <n v="127.9"/>
        <n v="127.6"/>
        <n v="127.7"/>
        <n v="129.1"/>
        <n v="128"/>
        <n v="128.5"/>
        <n v="130.2"/>
        <n v="129.3"/>
        <n v="129.7"/>
        <n v="130.8"/>
        <n v="131.9"/>
        <n v="131.5"/>
        <n v="131.7"/>
        <n v="132.2"/>
        <n v="131.6"/>
        <n v="131.8"/>
        <n v="133"/>
        <n v="132.4"/>
        <n v="133.7"/>
        <n v="132.1"/>
        <n v="132.8"/>
        <n v="134.2"/>
        <n v="132.3"/>
        <n v="133.1"/>
        <n v="134.6"/>
        <n v="133.3"/>
        <n v="134.9"/>
        <n v="133.4"/>
        <n v="135.2"/>
        <n v="133.8"/>
        <n v="135.7"/>
        <n v="133.6"/>
        <n v="134.5"/>
        <n v="136.3"/>
        <n v="134.8"/>
        <n v="136.9"/>
        <n v="134.3"/>
        <n v="135.4"/>
        <n v="138.6"/>
        <n v="135.5"/>
        <n v="136.8"/>
        <n v="140.2"/>
        <n v="137.6"/>
        <n v="139.6"/>
        <n v="135.9"/>
        <n v="137.4"/>
        <n v="140.1"/>
        <n v="137.9"/>
        <n v="141.5"/>
        <n v="136.6"/>
        <n v="141.1"/>
        <n v="136.7"/>
        <n v="138.5"/>
        <n v="141.6"/>
        <n v="137.1"/>
        <n v="139"/>
        <n v="137.2"/>
        <n v="142.7"/>
        <n v="137.8"/>
        <n v="139.8"/>
        <n v="143.7"/>
        <n v="139.7"/>
        <n v="141.4"/>
        <n v="144.4"/>
        <n v="140.4"/>
        <n v="142.1"/>
        <n v="145.1"/>
        <n v="141.2"/>
        <n v="142.8"/>
        <n v="145.8"/>
        <n v="144"/>
        <n v="144.7"/>
        <n v="146.9"/>
        <n v="145.3"/>
        <n v="146"/>
        <n v="147.6"/>
        <n v="145.2"/>
        <n v="146.2"/>
        <n v="148"/>
        <n v="145.5"/>
        <n v="147.8"/>
        <n v="150.2"/>
        <n v="146.1"/>
        <n v="155.1"/>
        <n v="146.5"/>
        <n v="150.1"/>
        <n v="155.2"/>
        <n v="146.6"/>
        <n v="155.5"/>
        <n v="150.3"/>
        <n v="146.7"/>
        <n v="156.7"/>
        <n v="151.6"/>
        <n v="157.7"/>
        <n v="148.9"/>
        <n v="152.5"/>
        <n v="159.1"/>
        <n v="150.4"/>
        <n v="154"/>
        <n v="159.7"/>
        <n v="151.5"/>
        <n v="154.9"/>
        <n v="160.2"/>
        <n v="160.7"/>
        <n v="151.7"/>
        <n v="155.4"/>
        <n v="160.8"/>
        <n v="151.8"/>
        <n v="161.1"/>
        <n v="151.9"/>
        <n v="155.7"/>
        <n v="161.7"/>
        <n v="152.1"/>
        <n v="156.1"/>
        <n v="161.9"/>
        <n v="152.2"/>
        <n v="156.2"/>
        <n v="161.2"/>
        <n v="156.6"/>
        <n v="155.9"/>
        <n v="161.8"/>
        <n v="156.4"/>
        <n v="162.7"/>
        <n v="158.5"/>
        <n v="157.5"/>
        <n v="162.5"/>
        <n v="161.6"/>
        <n v="158.6"/>
        <n v="162.9"/>
        <n v="156.9"/>
        <n v="159.4"/>
        <n v="163.5"/>
        <n v="159.2"/>
        <n v="163.6"/>
        <n v="159.5"/>
        <n v="163.8"/>
        <n v="157.6"/>
        <n v="164.1"/>
        <n v="160.3"/>
        <n v="167.6"/>
        <n v="166.8"/>
        <n v="158.1"/>
        <n v="167.2"/>
        <n v="163.2"/>
        <n v="167.5"/>
        <n v="160.4"/>
        <n v="168.5"/>
        <n v="163.7"/>
        <n v="169"/>
        <n v="163.9"/>
        <n v="169.3"/>
        <n v="164.3"/>
        <n v="169.7"/>
        <n v="160.6"/>
        <n v="164.4"/>
        <n v="169.9"/>
        <n v="161"/>
        <n v="164.7"/>
        <n v="170.3"/>
        <n v="162"/>
        <n v="165.4"/>
        <n v="170.6"/>
        <n v="166"/>
        <n v="170.9"/>
        <n v="164"/>
        <n v="166.9"/>
        <n v="171.8"/>
        <n v="165.2"/>
        <n v="167.9"/>
        <n v="172.6"/>
        <n v="166.5"/>
        <n v="174.7"/>
        <n v="169.1"/>
        <n v="171.4"/>
        <n v="175.7"/>
        <n v="172.3"/>
        <n v="176.2"/>
        <n v="173.1"/>
        <n v="176.5"/>
        <n v="171.2"/>
        <n v="173.4"/>
        <n v="176.9"/>
        <n v="171.5"/>
        <n v="173.7"/>
        <n v="177.3"/>
        <n v="174.1"/>
        <n v="177.8"/>
        <n v="174.3"/>
        <n v="178.5"/>
        <n v="172.5"/>
        <n v="175"/>
        <n v="179.4"/>
        <n v="174.2"/>
        <n v="176.4"/>
        <n v="180.3"/>
        <n v="174.8"/>
        <n v="177.1"/>
      </sharedItems>
    </cacheField>
    <cacheField name="Recreation and amusement" numFmtId="0">
      <sharedItems containsSemiMixedTypes="0" containsString="0" containsNumber="1" minValue="0" maxValue="173.8" count="302">
        <n v="103.4"/>
        <n v="102.9"/>
        <n v="103.1"/>
        <n v="104"/>
        <n v="103.3"/>
        <n v="103.6"/>
        <n v="103.5"/>
        <n v="103.7"/>
        <n v="104.5"/>
        <n v="104.2"/>
        <n v="105"/>
        <n v="104.6"/>
        <n v="104.8"/>
        <n v="105.6"/>
        <n v="105.2"/>
        <n v="105.4"/>
        <n v="106.4"/>
        <n v="105.9"/>
        <n v="106.1"/>
        <n v="106.8"/>
        <n v="106.5"/>
        <n v="106.6"/>
        <n v="107.7"/>
        <n v="107.4"/>
        <n v="107.5"/>
        <n v="108.3"/>
        <n v="108"/>
        <n v="108.1"/>
        <n v="108.7"/>
        <n v="108.5"/>
        <n v="108.6"/>
        <n v="109.2"/>
        <n v="108.9"/>
        <n v="109"/>
        <n v="109.6"/>
        <n v="109.8"/>
        <n v="109.7"/>
        <n v="109.9"/>
        <n v="110.3"/>
        <n v="110.1"/>
        <n v="110.2"/>
        <n v="110.9"/>
        <n v="110.6"/>
        <n v="110.5"/>
        <n v="111.2"/>
        <n v="111.5"/>
        <n v="111.4"/>
        <n v="111.8"/>
        <n v="111.6"/>
        <n v="112.4"/>
        <n v="112.1"/>
        <n v="112.2"/>
        <n v="112.9"/>
        <n v="112.6"/>
        <n v="113.4"/>
        <n v="113.1"/>
        <n v="113"/>
        <n v="113.6"/>
        <n v="113.3"/>
        <n v="114"/>
        <n v="113.7"/>
        <n v="114.3"/>
        <n v="113.9"/>
        <n v="114.6"/>
        <n v="114.8"/>
        <n v="114.9"/>
        <n v="115.5"/>
        <n v="115.4"/>
        <n v="116.2"/>
        <n v="115.6"/>
        <n v="115.9"/>
        <n v="116.7"/>
        <n v="116"/>
        <n v="116.3"/>
        <n v="117.9"/>
        <n v="116.9"/>
        <n v="118"/>
        <n v="116.6"/>
        <n v="117.2"/>
        <n v="118.5"/>
        <n v="117.8"/>
        <n v="119.6"/>
        <n v="117.3"/>
        <n v="118.3"/>
        <n v="120.1"/>
        <n v="117.7"/>
        <n v="118.7"/>
        <n v="120.9"/>
        <n v="119.2"/>
        <n v="121.6"/>
        <n v="118.1"/>
        <n v="121.4"/>
        <n v="119.8"/>
        <n v="122.3"/>
        <n v="118.8"/>
        <n v="120.3"/>
        <n v="122.5"/>
        <n v="119.1"/>
        <n v="120.6"/>
        <n v="123.2"/>
        <n v="119.5"/>
        <n v="121.1"/>
        <n v="123.6"/>
        <n v="121.5"/>
        <n v="124.1"/>
        <n v="119.9"/>
        <n v="121.7"/>
        <n v="125.2"/>
        <n v="122.4"/>
        <n v="125.5"/>
        <n v="122.7"/>
        <n v="125.7"/>
        <n v="120.8"/>
        <n v="122.9"/>
        <n v="126.5"/>
        <n v="121.2"/>
        <n v="123.5"/>
        <n v="126.9"/>
        <n v="124"/>
        <n v="127.3"/>
        <n v="121.8"/>
        <n v="124.2"/>
        <n v="127"/>
        <n v="122"/>
        <n v="127.7"/>
        <n v="122.2"/>
        <n v="124.6"/>
        <n v="128.3"/>
        <n v="125"/>
        <n v="122.6"/>
        <n v="125.1"/>
        <n v="129.4"/>
        <n v="122.8"/>
        <n v="129.8"/>
        <n v="125.9"/>
        <n v="130.6"/>
        <n v="126.6"/>
        <n v="131.5"/>
        <n v="132.3"/>
        <n v="124.5"/>
        <n v="127.9"/>
        <n v="133"/>
        <n v="124.8"/>
        <n v="128.4"/>
        <n v="133.7"/>
        <n v="128.9"/>
        <n v="133.4"/>
        <n v="125.6"/>
        <n v="129"/>
        <n v="134.3"/>
        <n v="126.2"/>
        <n v="129.7"/>
        <n v="129.9"/>
        <n v="135.1"/>
        <n v="126.8"/>
        <n v="130.4"/>
        <n v="136"/>
        <n v="127.6"/>
        <n v="131.3"/>
        <n v="136.8"/>
        <n v="128"/>
        <n v="131.8"/>
        <n v="137.8"/>
        <n v="128.5"/>
        <n v="132.6"/>
        <n v="138.4"/>
        <n v="133.1"/>
        <n v="138.6"/>
        <n v="133.6"/>
        <n v="140"/>
        <n v="130.2"/>
        <n v="134.5"/>
        <n v="140.1"/>
        <n v="130.7"/>
        <n v="136.5"/>
        <n v="143.1"/>
        <n v="143.3"/>
        <n v="131.7"/>
        <n v="142.9"/>
        <n v="131.9"/>
        <n v="136.7"/>
        <n v="143.4"/>
        <n v="132.2"/>
        <n v="137.1"/>
        <n v="143.8"/>
        <n v="137.7"/>
        <n v="145.9"/>
        <n v="134"/>
        <n v="139.2"/>
        <n v="146.4"/>
        <n v="139.6"/>
        <n v="147.5"/>
        <n v="135"/>
        <n v="140.5"/>
        <n v="148"/>
        <n v="135.4"/>
        <n v="140.9"/>
        <n v="148.3"/>
        <n v="135.9"/>
        <n v="141.3"/>
        <n v="148.7"/>
        <n v="136.2"/>
        <n v="141.7"/>
        <n v="149.1"/>
        <n v="142.1"/>
        <n v="149.5"/>
        <n v="142.3"/>
        <n v="150.1"/>
        <n v="137.2"/>
        <n v="142.8"/>
        <n v="150.4"/>
        <n v="143.2"/>
        <n v="151.2"/>
        <n v="137.9"/>
        <n v="143.7"/>
        <n v="144.3"/>
        <n v="142"/>
        <n v="153.2"/>
        <n v="144.5"/>
        <n v="152.2"/>
        <n v="141.2"/>
        <n v="146"/>
        <n v="152.8"/>
        <n v="141.8"/>
        <n v="146.6"/>
        <n v="152.4"/>
        <n v="146.5"/>
        <n v="153.6"/>
        <n v="144.4"/>
        <n v="148.4"/>
        <n v="153.9"/>
        <n v="148.5"/>
        <n v="155.1"/>
        <n v="145.4"/>
        <n v="149.6"/>
        <n v="157"/>
        <n v="147.3"/>
        <n v="151.5"/>
        <n v="157.8"/>
        <n v="148.6"/>
        <n v="152.6"/>
        <n v="158.6"/>
        <n v="160"/>
        <n v="155.8"/>
        <n v="160.4"/>
        <n v="150.7"/>
        <n v="154.9"/>
        <n v="160.7"/>
        <n v="155.3"/>
        <n v="161.1"/>
        <n v="153.7"/>
        <n v="157.6"/>
        <n v="162.7"/>
        <n v="157.7"/>
        <n v="163.2"/>
        <n v="163.8"/>
        <n v="156.7"/>
        <n v="159.8"/>
        <n v="164.5"/>
        <n v="160.6"/>
        <n v="164.9"/>
        <n v="158.4"/>
        <n v="161.2"/>
        <n v="165.5"/>
        <n v="159.5"/>
        <n v="162.1"/>
        <n v="166.6"/>
        <n v="160.8"/>
        <n v="163.3"/>
        <n v="167.2"/>
        <n v="162.2"/>
        <n v="164.4"/>
        <n v="167.6"/>
        <n v="165.1"/>
        <n v="168"/>
        <n v="164.1"/>
        <n v="165.8"/>
        <n v="168.6"/>
        <n v="164.6"/>
        <n v="166.3"/>
        <n v="169.3"/>
        <n v="166.9"/>
        <n v="170"/>
        <n v="170.6"/>
        <n v="168.2"/>
        <n v="170.8"/>
        <n v="166.7"/>
        <n v="168.5"/>
        <n v="171.2"/>
        <n v="167.1"/>
        <n v="168.9"/>
        <n v="171.8"/>
        <n v="167.8"/>
        <n v="169.5"/>
        <n v="172.8"/>
        <n v="168.4"/>
        <n v="170.3"/>
        <n v="173.2"/>
        <n v="168.8"/>
        <n v="170.7"/>
        <n v="173.8"/>
        <n v="169.2"/>
      </sharedItems>
    </cacheField>
    <cacheField name="Miscellaneous" numFmtId="0">
      <sharedItems containsSemiMixedTypes="0" containsString="0" containsNumber="1" minValue="0" maxValue="179.5" count="294">
        <n v="104"/>
        <n v="103.7"/>
        <n v="103.9"/>
        <n v="104.4"/>
        <n v="104.3"/>
        <n v="104.6"/>
        <n v="104.9"/>
        <n v="104.7"/>
        <n v="105.1"/>
        <n v="104.8"/>
        <n v="105.5"/>
        <n v="106.1"/>
        <n v="105.8"/>
        <n v="106.5"/>
        <n v="107.3"/>
        <n v="106.9"/>
        <n v="107.5"/>
        <n v="108.3"/>
        <n v="107.9"/>
        <n v="108.7"/>
        <n v="109.4"/>
        <n v="109"/>
        <n v="109.1"/>
        <n v="109.2"/>
        <n v="109.8"/>
        <n v="109.6"/>
        <n v="109.7"/>
        <n v="110.1"/>
        <n v="110"/>
        <n v="110.6"/>
        <n v="110.5"/>
        <n v="110.9"/>
        <n v="111"/>
        <n v="111.3"/>
        <n v="111.4"/>
        <n v="111.5"/>
        <n v="111.8"/>
        <n v="111.7"/>
        <n v="112.3"/>
        <n v="112.2"/>
        <n v="113.1"/>
        <n v="113.5"/>
        <n v="113.3"/>
        <n v="113.9"/>
        <n v="113.7"/>
        <n v="113.6"/>
        <n v="114"/>
        <n v="114.1"/>
        <n v="113.4"/>
        <n v="113.8"/>
        <n v="114.2"/>
        <n v="114.5"/>
        <n v="115"/>
        <n v="113.2"/>
        <n v="115.5"/>
        <n v="114.7"/>
        <n v="116"/>
        <n v="115.1"/>
        <n v="116.9"/>
        <n v="115.2"/>
        <n v="116.1"/>
        <n v="117.9"/>
        <n v="117"/>
        <n v="118.1"/>
        <n v="116.3"/>
        <n v="117.2"/>
        <n v="118.2"/>
        <n v="116.2"/>
        <n v="118.8"/>
        <n v="117.5"/>
        <n v="119.2"/>
        <n v="116.5"/>
        <n v="119.6"/>
        <n v="116.6"/>
        <n v="119.8"/>
        <n v="116.7"/>
        <n v="118.3"/>
        <n v="120.1"/>
        <n v="116.8"/>
        <n v="118.5"/>
        <n v="120.9"/>
        <n v="119.1"/>
        <n v="121.1"/>
        <n v="117.3"/>
        <n v="119.3"/>
        <n v="121.7"/>
        <n v="120"/>
        <n v="122.5"/>
        <n v="118.7"/>
        <n v="120.7"/>
        <n v="123.3"/>
        <n v="121.5"/>
        <n v="123.8"/>
        <n v="119.9"/>
        <n v="121.9"/>
        <n v="124.2"/>
        <n v="122.1"/>
        <n v="124.9"/>
        <n v="120.5"/>
        <n v="122.8"/>
        <n v="125.7"/>
        <n v="123.4"/>
        <n v="126.1"/>
        <n v="121.3"/>
        <n v="126.3"/>
        <n v="121.4"/>
        <n v="123.9"/>
        <n v="126.6"/>
        <n v="124.4"/>
        <n v="127"/>
        <n v="122.4"/>
        <n v="124.8"/>
        <n v="127.4"/>
        <n v="122.6"/>
        <n v="125.1"/>
        <n v="127.5"/>
        <n v="127.9"/>
        <n v="125.3"/>
        <n v="128.1"/>
        <n v="122.7"/>
        <n v="125.5"/>
        <n v="128.6"/>
        <n v="123"/>
        <n v="125.9"/>
        <n v="129.7"/>
        <n v="126.8"/>
        <n v="130.3"/>
        <n v="124.5"/>
        <n v="130.7"/>
        <n v="127.7"/>
        <n v="131.7"/>
        <n v="128.4"/>
        <n v="131.9"/>
        <n v="132.3"/>
        <n v="125.8"/>
        <n v="129.1"/>
        <n v="132.5"/>
        <n v="126.5"/>
        <n v="129.6"/>
        <n v="133.3"/>
        <n v="127.1"/>
        <n v="134.2"/>
        <n v="128.2"/>
        <n v="131.3"/>
        <n v="135.1"/>
        <n v="128.9"/>
        <n v="132.1"/>
        <n v="135.6"/>
        <n v="129.5"/>
        <n v="132.6"/>
        <n v="136"/>
        <n v="130.2"/>
        <n v="133.2"/>
        <n v="136.6"/>
        <n v="131"/>
        <n v="133.9"/>
        <n v="137.4"/>
        <n v="134.7"/>
        <n v="139.8"/>
        <n v="136.3"/>
        <n v="140.1"/>
        <n v="132.2"/>
        <n v="141.6"/>
        <n v="136.8"/>
        <n v="141.7"/>
        <n v="131.8"/>
        <n v="136.9"/>
        <n v="142.2"/>
        <n v="132.4"/>
        <n v="142.4"/>
        <n v="132.8"/>
        <n v="137.7"/>
        <n v="142.9"/>
        <n v="138.2"/>
        <n v="143.3"/>
        <n v="133.6"/>
        <n v="138.6"/>
        <n v="144.2"/>
        <n v="134.5"/>
        <n v="139.5"/>
        <n v="144.9"/>
        <n v="135.3"/>
        <n v="140.2"/>
        <n v="145.4"/>
        <n v="135.7"/>
        <n v="140.7"/>
        <n v="145.7"/>
        <n v="141"/>
        <n v="146.1"/>
        <n v="141.3"/>
        <n v="147.1"/>
        <n v="142.5"/>
        <n v="148.1"/>
        <n v="138.4"/>
        <n v="143.4"/>
        <n v="148.4"/>
        <n v="143.6"/>
        <n v="148.6"/>
        <n v="138.7"/>
        <n v="143.8"/>
        <n v="143.7"/>
        <n v="142.1"/>
        <n v="143.2"/>
        <n v="151.7"/>
        <n v="142"/>
        <n v="147"/>
        <n v="153"/>
        <n v="144.8"/>
        <n v="149"/>
        <n v="153.7"/>
        <n v="146"/>
        <n v="150"/>
        <n v="154.3"/>
        <n v="146.2"/>
        <n v="150.4"/>
        <n v="154.5"/>
        <n v="146.6"/>
        <n v="150.7"/>
        <n v="155.2"/>
        <n v="146.9"/>
        <n v="151.2"/>
        <n v="155.9"/>
        <n v="147.6"/>
        <n v="151.9"/>
        <n v="157.2"/>
        <n v="149.3"/>
        <n v="153.4"/>
        <n v="157.3"/>
        <n v="153.8"/>
        <n v="158"/>
        <n v="150.5"/>
        <n v="154.4"/>
        <n v="161.1"/>
        <n v="152.3"/>
        <n v="156.8"/>
        <n v="161.5"/>
        <n v="157.6"/>
        <n v="162.8"/>
        <n v="155"/>
        <n v="159"/>
        <n v="163.3"/>
        <n v="156"/>
        <n v="160"/>
        <n v="163.8"/>
        <n v="164.7"/>
        <n v="157"/>
        <n v="161"/>
        <n v="165.2"/>
        <n v="161.4"/>
        <n v="166"/>
        <n v="157.8"/>
        <n v="162"/>
        <n v="166.6"/>
        <n v="158.6"/>
        <n v="162.7"/>
        <n v="167.3"/>
        <n v="159.4"/>
        <n v="163.5"/>
        <n v="168.3"/>
        <n v="160.6"/>
        <n v="164.6"/>
        <n v="170.2"/>
        <n v="163.1"/>
        <n v="166.8"/>
        <n v="170.9"/>
        <n v="167.5"/>
        <n v="171"/>
        <n v="171.8"/>
        <n v="168.4"/>
        <n v="172.6"/>
        <n v="165.4"/>
        <n v="169.1"/>
        <n v="173.1"/>
        <n v="166.1"/>
        <n v="169.7"/>
        <n v="173.9"/>
        <n v="170.5"/>
        <n v="174.6"/>
        <n v="167.4"/>
        <n v="171.1"/>
        <n v="175.5"/>
        <n v="168.2"/>
        <n v="172"/>
        <n v="176.5"/>
        <n v="168.9"/>
        <n v="172.8"/>
        <n v="177.9"/>
        <n v="170"/>
        <n v="174.1"/>
        <n v="178.9"/>
        <n v="175"/>
        <n v="179.5"/>
        <n v="171.6"/>
        <n v="175.7"/>
      </sharedItems>
    </cacheField>
    <cacheField name="General index" numFmtId="0">
      <sharedItems containsSemiMixedTypes="0" containsString="0" containsNumber="1" minValue="0" maxValue="179.8" count="285">
        <n v="105.1"/>
        <n v="104"/>
        <n v="104.6"/>
        <n v="105.8"/>
        <n v="104.7"/>
        <n v="105.3"/>
        <n v="106"/>
        <n v="105"/>
        <n v="105.5"/>
        <n v="106.4"/>
        <n v="105.7"/>
        <n v="106.1"/>
        <n v="107.2"/>
        <n v="106.6"/>
        <n v="106.9"/>
        <n v="108.9"/>
        <n v="109.7"/>
        <n v="109.3"/>
        <n v="110.7"/>
        <n v="111.4"/>
        <n v="111"/>
        <n v="112.1"/>
        <n v="112.7"/>
        <n v="112.4"/>
        <n v="114.2"/>
        <n v="113.2"/>
        <n v="113.7"/>
        <n v="115.5"/>
        <n v="114"/>
        <n v="114.8"/>
        <n v="117.4"/>
        <n v="115"/>
        <n v="116.3"/>
        <n v="113.3"/>
        <n v="114.5"/>
        <n v="112.9"/>
        <n v="113.6"/>
        <n v="113.1"/>
        <n v="114.6"/>
        <n v="115.4"/>
        <n v="114.7"/>
        <n v="115.1"/>
        <n v="116"/>
        <n v="115.6"/>
        <n v="115.8"/>
        <n v="117"/>
        <n v="116.4"/>
        <n v="116.7"/>
        <n v="119.5"/>
        <n v="118.9"/>
        <n v="119.2"/>
        <n v="120.7"/>
        <n v="119.9"/>
        <n v="120.3"/>
        <n v="120.9"/>
        <n v="120.1"/>
        <n v="121"/>
        <n v="119.1"/>
        <n v="121.1"/>
        <n v="119"/>
        <n v="118.4"/>
        <n v="119.4"/>
        <n v="118.5"/>
        <n v="120.6"/>
        <n v="118.7"/>
        <n v="119.7"/>
        <n v="120.2"/>
        <n v="121.5"/>
        <n v="122.4"/>
        <n v="121.6"/>
        <n v="124.1"/>
        <n v="121.7"/>
        <n v="123"/>
        <n v="124.7"/>
        <n v="123.6"/>
        <n v="126.1"/>
        <n v="123.2"/>
        <n v="124.8"/>
        <n v="127"/>
        <n v="123.5"/>
        <n v="125.4"/>
        <n v="127.7"/>
        <n v="124.2"/>
        <n v="128.3"/>
        <n v="124.6"/>
        <n v="126.6"/>
        <n v="127.9"/>
        <n v="124"/>
        <n v="128.1"/>
        <n v="126.3"/>
        <n v="123.8"/>
        <n v="126"/>
        <n v="128"/>
        <n v="129"/>
        <n v="125.3"/>
        <n v="127.3"/>
        <n v="130.3"/>
        <n v="128.6"/>
        <n v="131.9"/>
        <n v="130.1"/>
        <n v="133"/>
        <n v="131.1"/>
        <n v="133.5"/>
        <n v="128.4"/>
        <n v="133.4"/>
        <n v="130.9"/>
        <n v="133.8"/>
        <n v="131.4"/>
        <n v="133.6"/>
        <n v="128.5"/>
        <n v="131.2"/>
        <n v="132.8"/>
        <n v="127.6"/>
        <n v="130.4"/>
        <n v="132.4"/>
        <n v="127.8"/>
        <n v="132.6"/>
        <n v="128.2"/>
        <n v="130.6"/>
        <n v="128.7"/>
        <n v="132.9"/>
        <n v="129.1"/>
        <n v="133.3"/>
        <n v="129.3"/>
        <n v="133.9"/>
        <n v="129.9"/>
        <n v="132"/>
        <n v="136.2"/>
        <n v="131.8"/>
        <n v="134.2"/>
        <n v="137.8"/>
        <n v="132.7"/>
        <n v="135.4"/>
        <n v="137.6"/>
        <n v="135.2"/>
        <n v="138.3"/>
        <n v="136.1"/>
        <n v="140"/>
        <n v="134.8"/>
        <n v="139.8"/>
        <n v="134.1"/>
        <n v="137.2"/>
        <n v="139.3"/>
        <n v="136.9"/>
        <n v="138.5"/>
        <n v="134"/>
        <n v="136.4"/>
        <n v="138.7"/>
        <n v="136.5"/>
        <n v="139.1"/>
        <n v="137.1"/>
        <n v="140.5"/>
        <n v="141.8"/>
        <n v="137.5"/>
        <n v="142.5"/>
        <n v="138"/>
        <n v="140.4"/>
        <n v="142.1"/>
        <n v="138.1"/>
        <n v="140.2"/>
        <n v="142.2"/>
        <n v="138.9"/>
        <n v="140.8"/>
        <n v="142.4"/>
        <n v="139"/>
        <n v="141.9"/>
        <n v="140.1"/>
        <n v="141"/>
        <n v="139.6"/>
        <n v="138.6"/>
        <n v="139.9"/>
        <n v="141.2"/>
        <n v="139.5"/>
        <n v="141.5"/>
        <n v="142"/>
        <n v="143.6"/>
        <n v="142.9"/>
        <n v="144.9"/>
        <n v="143.3"/>
        <n v="144.2"/>
        <n v="145.7"/>
        <n v="145"/>
        <n v="146.7"/>
        <n v="144.7"/>
        <n v="145.8"/>
        <n v="148.3"/>
        <n v="146"/>
        <n v="147.2"/>
        <n v="149.9"/>
        <n v="147"/>
        <n v="148.6"/>
        <n v="152.3"/>
        <n v="150.4"/>
        <n v="151.9"/>
        <n v="148.2"/>
        <n v="150.2"/>
        <n v="147.7"/>
        <n v="149.1"/>
        <n v="149.8"/>
        <n v="147.3"/>
        <n v="148.5"/>
        <n v="152.7"/>
        <n v="150.8"/>
        <n v="151.8"/>
        <n v="154.7"/>
        <n v="152.9"/>
        <n v="153.9"/>
        <n v="155.4"/>
        <n v="154"/>
        <n v="157.5"/>
        <n v="155.2"/>
        <n v="156.4"/>
        <n v="159.8"/>
        <n v="156.7"/>
        <n v="158.4"/>
        <n v="160.7"/>
        <n v="156.9"/>
        <n v="158.9"/>
        <n v="158.5"/>
        <n v="156"/>
        <n v="157.3"/>
        <n v="156.5"/>
        <n v="156.6"/>
        <n v="156.8"/>
        <n v="157.6"/>
        <n v="158"/>
        <n v="157.8"/>
        <n v="161.1"/>
        <n v="159.5"/>
        <n v="160.4"/>
        <n v="162.1"/>
        <n v="161.3"/>
        <n v="163.2"/>
        <n v="161.8"/>
        <n v="162.5"/>
        <n v="163.6"/>
        <n v="162.3"/>
        <n v="164"/>
        <n v="166.3"/>
        <n v="164.6"/>
        <n v="165.5"/>
        <n v="167.6"/>
        <n v="165.6"/>
        <n v="166.7"/>
        <n v="167"/>
        <n v="165.2"/>
        <n v="166.2"/>
        <n v="166.4"/>
        <n v="165"/>
        <n v="165.7"/>
        <n v="166.1"/>
        <n v="168.7"/>
        <n v="166.5"/>
        <n v="167.7"/>
        <n v="170.8"/>
        <n v="169.2"/>
        <n v="170.1"/>
        <n v="172.5"/>
        <n v="171.7"/>
        <n v="173.6"/>
        <n v="171.4"/>
        <n v="172.6"/>
        <n v="174.3"/>
        <n v="172.3"/>
        <n v="173.4"/>
        <n v="175.3"/>
        <n v="173.1"/>
        <n v="176.4"/>
        <n v="174.1"/>
        <n v="177.9"/>
        <n v="176.7"/>
        <n v="177.8"/>
        <n v="176.5"/>
        <n v="177.1"/>
        <n v="175.7"/>
        <n v="174.9"/>
        <n v="178"/>
        <n v="176.3"/>
        <n v="177.2"/>
        <n v="178.8"/>
        <n v="177.4"/>
        <n v="178.1"/>
        <n v="179.8"/>
        <n v="178.2"/>
        <n v="179.1"/>
      </sharedItems>
    </cacheField>
    <cacheField name="Total Sum" numFmtId="0">
      <sharedItems containsSemiMixedTypes="0" containsString="0" containsNumber="1" minValue="0" maxValue="4854.2" count="361">
        <n v="2834.4"/>
        <n v="2834.5"/>
        <n v="2833.9"/>
        <n v="2849.4"/>
        <n v="2855.8"/>
        <n v="2851.6"/>
        <n v="2855.2"/>
        <n v="2858"/>
        <n v="2856.1"/>
        <n v="2862"/>
        <n v="2875.5"/>
        <n v="2866.9"/>
        <n v="2876.6"/>
        <n v="2899.8"/>
        <n v="2884.5"/>
        <n v="2913.9"/>
        <n v="2967.2"/>
        <n v="2937.1"/>
        <n v="2952.1"/>
        <n v="3004.9"/>
        <n v="2975.8"/>
        <n v="2988.7"/>
        <n v="3034.5"/>
        <n v="3004.7"/>
        <n v="3031.9"/>
        <n v="3040"/>
        <n v="3033.6"/>
        <n v="3060.8"/>
        <n v="3063.2"/>
        <n v="3060"/>
        <n v="3101.1"/>
        <n v="3097.9"/>
        <n v="3098.3"/>
        <n v="3078"/>
        <n v="3060.4"/>
        <n v="3070.7"/>
        <n v="3060.6"/>
        <n v="3048.1"/>
        <n v="3055.5"/>
        <n v="3060.5"/>
        <n v="3046.5"/>
        <n v="3055"/>
        <n v="3075.6"/>
        <n v="3059.3"/>
        <n v="3069"/>
        <n v="3094.8"/>
        <n v="3085.4"/>
        <n v="3091"/>
        <n v="3110.2"/>
        <n v="3112.5"/>
        <n v="3111"/>
        <n v="3130.5"/>
        <n v="3139.8"/>
        <n v="3133.7"/>
        <n v="3181.3"/>
        <n v="3207.6"/>
        <n v="3190.4"/>
        <n v="3207.5"/>
        <n v="3234.3"/>
        <n v="3216.5"/>
        <n v="3213.7"/>
        <n v="3213.2"/>
        <n v="3212.1"/>
        <n v="3219.2"/>
        <n v="3210"/>
        <n v="3214.3"/>
        <n v="3224.4"/>
        <n v="3213.9"/>
        <n v="3218.6"/>
        <n v="3205.6"/>
        <n v="3209.2"/>
        <n v="3220.2"/>
        <n v="3207.8"/>
        <n v="3234.1"/>
        <n v="3207.2"/>
        <n v="3220.9"/>
        <n v="3242.1"/>
        <n v="3210.2"/>
        <n v="3227.4"/>
        <n v="3255.6"/>
        <n v="3225.1"/>
        <n v="3241.4"/>
        <n v="3277.1"/>
        <n v="3256.8"/>
        <n v="3266.1"/>
        <n v="3321.5"/>
        <n v="3302.4"/>
        <n v="3310.9"/>
        <n v="3334.5"/>
        <n v="3314.7"/>
        <n v="3323.8"/>
        <n v="3363.5"/>
        <n v="3335.4"/>
        <n v="3349.3"/>
        <n v="3384.3"/>
        <n v="3345"/>
        <n v="3364.8"/>
        <n v="3409.1"/>
        <n v="3378.3"/>
        <n v="3392.1"/>
        <n v="3429.8"/>
        <n v="3400"/>
        <n v="3412.4"/>
        <n v="3428.5"/>
        <n v="3392.3"/>
        <n v="3408.9"/>
        <n v="3442.6"/>
        <n v="3401.2"/>
        <n v="3420.6"/>
        <n v="3446.3"/>
        <n v="3380.8"/>
        <n v="3415.5"/>
        <n v="3450.6"/>
        <n v="3374.3"/>
        <n v="3415.9"/>
        <n v="3477.5"/>
        <n v="3422.1"/>
        <n v="3450.5"/>
        <n v="3509"/>
        <n v="3469.9"/>
        <n v="3488.2"/>
        <n v="3544"/>
        <n v="3517.8"/>
        <n v="3527.3"/>
        <n v="3575.6"/>
        <n v="3548.3"/>
        <n v="3558.4"/>
        <n v="3591.4"/>
        <n v="3523.4"/>
        <n v="3558.9"/>
        <n v="3592.9"/>
        <n v="3500.6"/>
        <n v="3551.8"/>
        <n v="3604.2"/>
        <n v="3512.6"/>
        <n v="3563.2"/>
        <n v="3602"/>
        <n v="3510.1"/>
        <n v="3561.1"/>
        <n v="3591"/>
        <n v="3486.1"/>
        <n v="3545.2"/>
        <n v="3583.7"/>
        <n v="3476"/>
        <n v="3537.3"/>
        <n v="3587.4"/>
        <n v="3474.2"/>
        <n v="3538.6"/>
        <n v="3588.1"/>
        <n v="3480.8"/>
        <n v="3541.4"/>
        <n v="3590.8"/>
        <n v="3487.1"/>
        <n v="3545.4"/>
        <n v="3598"/>
        <n v="3489.9"/>
        <n v="3550.3"/>
        <n v="3612.6"/>
        <n v="3511.7"/>
        <n v="3567.5"/>
        <n v="3659.8"/>
        <n v="3558.2"/>
        <n v="3613.7"/>
        <n v="3696.5"/>
        <n v="3574.4"/>
        <n v="3642.3"/>
        <n v="3697.2"/>
        <n v="3637.9"/>
        <n v="3713.9"/>
        <n v="3585.3"/>
        <n v="3656.7"/>
        <n v="3758.3"/>
        <n v="3628.9"/>
        <n v="3700.5"/>
        <n v="3757.2"/>
        <n v="3604.5"/>
        <n v="3691.2"/>
        <n v="3749.7"/>
        <n v="3593.5"/>
        <n v="3682.4"/>
        <n v="3732.4"/>
        <n v="3580.4"/>
        <n v="3667.1"/>
        <n v="3742.5"/>
        <n v="3573.7"/>
        <n v="3670.5"/>
        <n v="3752.5"/>
        <n v="3588"/>
        <n v="3683.4"/>
        <n v="3765.5"/>
        <n v="3599.7"/>
        <n v="3695.9"/>
        <n v="3779.9"/>
        <n v="3632"/>
        <n v="3717.1"/>
        <n v="3807.2"/>
        <n v="3666.8"/>
        <n v="3747"/>
        <n v="3824.1"/>
        <n v="3673.8"/>
        <n v="3759.7"/>
        <n v="3814.3"/>
        <n v="3665.2"/>
        <n v="3750.2"/>
        <n v="3810.4"/>
        <n v="3681.4"/>
        <n v="3768.2"/>
        <n v="3827.2"/>
        <n v="3691.5"/>
        <n v="3767.3"/>
        <n v="3822.4"/>
        <n v="3674.9"/>
        <n v="3757"/>
        <n v="3804.4"/>
        <n v="3672.5"/>
        <n v="3745"/>
        <n v="3809.1"/>
        <n v="3687.5"/>
        <n v="3753.3"/>
        <n v="3813.7"/>
        <n v="3708.2"/>
        <n v="3763.7"/>
        <n v="3843.8"/>
        <n v="3761.6"/>
        <n v="3802.4"/>
        <n v="3871.5"/>
        <n v="3788.2"/>
        <n v="3829.7"/>
        <n v="3903.1"/>
        <n v="3818.9"/>
        <n v="3861.2"/>
        <n v="3918.5"/>
        <n v="3838.9"/>
        <n v="3878.2"/>
        <n v="3938.9"/>
        <n v="3851.4"/>
        <n v="3895.7"/>
        <n v="3973"/>
        <n v="3888"/>
        <n v="3930.7"/>
        <n v="4008.3"/>
        <n v="3917.9"/>
        <n v="3963.7"/>
        <n v="4054.9"/>
        <n v="3960.8"/>
        <n v="4009"/>
        <n v="4061.8"/>
        <n v="3958.3"/>
        <n v="4012.4"/>
        <n v="4037.6"/>
        <n v="3937.8"/>
        <n v="3989.6"/>
        <n v="4026.4"/>
        <n v="3926.9"/>
        <n v="3978.9"/>
        <n v="4027.4"/>
        <n v="4015.2"/>
        <n v="4022.9"/>
        <n v="4113.7"/>
        <n v="4066.2"/>
        <n v="4086.1"/>
        <n v="4150"/>
        <n v="4115.6"/>
        <n v="4128.1"/>
        <n v="4168.6"/>
        <n v="4145.4"/>
        <n v="4151.4"/>
        <n v="4219"/>
        <n v="4186.1"/>
        <n v="4197.5"/>
        <n v="4279.1"/>
        <n v="4235.4"/>
        <n v="4253.8"/>
        <n v="4306.8"/>
        <n v="4246.9"/>
        <n v="4275.3"/>
        <n v="4278.7"/>
        <n v="4228.9"/>
        <n v="4250.4"/>
        <n v="4256.4"/>
        <n v="4222.1"/>
        <n v="4234.3"/>
        <n v="4260"/>
        <n v="4232.9"/>
        <n v="4241.3"/>
        <n v="4294.8"/>
        <n v="4267.9"/>
        <n v="4276.3"/>
        <n v="4388.8"/>
        <n v="4324.8"/>
        <n v="4355.1"/>
        <n v="4417.4"/>
        <n v="4357.7"/>
        <n v="4385.8"/>
        <n v="4440.6"/>
        <n v="4391.4"/>
        <n v="4413.7"/>
        <n v="4447.6"/>
        <n v="4396.3"/>
        <n v="4426.3"/>
        <n v="4458.5"/>
        <n v="4396.8"/>
        <n v="4426.5"/>
        <n v="4504.8"/>
        <n v="4452"/>
        <n v="4475.3"/>
        <n v="4532.6"/>
        <n v="4480.8"/>
        <n v="4503.9"/>
        <n v="4526.3"/>
        <n v="4475.4"/>
        <n v="4497.3"/>
        <n v="4520.6"/>
        <n v="4466"/>
        <n v="4490.5"/>
        <n v="4530.1"/>
        <n v="4476.3"/>
        <n v="4500.4"/>
        <n v="4575.4"/>
        <n v="4506.6"/>
        <n v="4540.7"/>
        <n v="4628.4"/>
        <n v="4569.2"/>
        <n v="4598.2"/>
        <n v="4663"/>
        <n v="4616.2"/>
        <n v="4637.3"/>
        <n v="4693.2"/>
        <n v="4651.1"/>
        <n v="4669.2"/>
        <n v="4712.6"/>
        <n v="4672.2"/>
        <n v="4689.5"/>
        <n v="4727.8"/>
        <n v="4684.5"/>
        <n v="4703.7"/>
        <n v="4751.2"/>
        <n v="4709.5"/>
        <n v="4727.1"/>
        <n v="4781.7"/>
        <n v="4736.7"/>
        <n v="4756.4"/>
        <n v="4795"/>
        <n v="4737.1"/>
        <n v="4765.8"/>
        <n v="4792.8"/>
        <n v="4727.2"/>
        <n v="4760.5"/>
        <n v="4811.7"/>
        <n v="4752.8"/>
        <n v="4781.8"/>
        <n v="4807.8"/>
        <n v="4766.1"/>
        <n v="4784.6"/>
        <n v="4784.4"/>
        <n v="4828.4"/>
        <n v="4793"/>
        <n v="4807.2"/>
        <n v="4854.2"/>
        <n v="4819.1"/>
        <n v="4833.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9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9"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6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  <x v="1"/>
    <x v="1"/>
  </r>
  <r>
    <x v="2"/>
    <x v="0"/>
    <x v="0"/>
    <x v="2"/>
    <x v="2"/>
    <x v="2"/>
    <x v="2"/>
    <x v="2"/>
    <x v="2"/>
    <x v="2"/>
    <x v="2"/>
    <x v="2"/>
    <x v="2"/>
    <x v="2"/>
    <x v="2"/>
    <x v="2"/>
    <x v="2"/>
    <x v="0"/>
    <x v="2"/>
    <x v="2"/>
    <x v="2"/>
    <x v="2"/>
    <x v="0"/>
    <x v="0"/>
    <x v="0"/>
    <x v="0"/>
    <x v="1"/>
    <x v="2"/>
    <x v="0"/>
    <x v="2"/>
    <x v="2"/>
    <x v="2"/>
    <x v="2"/>
    <x v="2"/>
    <x v="2"/>
  </r>
  <r>
    <x v="0"/>
    <x v="0"/>
    <x v="1"/>
    <x v="3"/>
    <x v="3"/>
    <x v="3"/>
    <x v="3"/>
    <x v="3"/>
    <x v="3"/>
    <x v="3"/>
    <x v="3"/>
    <x v="3"/>
    <x v="0"/>
    <x v="1"/>
    <x v="3"/>
    <x v="3"/>
    <x v="3"/>
    <x v="2"/>
    <x v="3"/>
    <x v="3"/>
    <x v="3"/>
    <x v="3"/>
    <x v="1"/>
    <x v="1"/>
    <x v="2"/>
    <x v="2"/>
    <x v="2"/>
    <x v="3"/>
    <x v="2"/>
    <x v="3"/>
    <x v="3"/>
    <x v="3"/>
    <x v="3"/>
    <x v="3"/>
    <x v="3"/>
  </r>
  <r>
    <x v="1"/>
    <x v="0"/>
    <x v="1"/>
    <x v="4"/>
    <x v="4"/>
    <x v="4"/>
    <x v="4"/>
    <x v="4"/>
    <x v="4"/>
    <x v="4"/>
    <x v="4"/>
    <x v="4"/>
    <x v="3"/>
    <x v="3"/>
    <x v="4"/>
    <x v="4"/>
    <x v="4"/>
    <x v="3"/>
    <x v="4"/>
    <x v="2"/>
    <x v="0"/>
    <x v="4"/>
    <x v="1"/>
    <x v="1"/>
    <x v="3"/>
    <x v="3"/>
    <x v="3"/>
    <x v="1"/>
    <x v="3"/>
    <x v="3"/>
    <x v="4"/>
    <x v="4"/>
    <x v="4"/>
    <x v="4"/>
    <x v="4"/>
  </r>
  <r>
    <x v="2"/>
    <x v="0"/>
    <x v="1"/>
    <x v="5"/>
    <x v="5"/>
    <x v="5"/>
    <x v="0"/>
    <x v="5"/>
    <x v="5"/>
    <x v="5"/>
    <x v="5"/>
    <x v="1"/>
    <x v="4"/>
    <x v="4"/>
    <x v="5"/>
    <x v="5"/>
    <x v="5"/>
    <x v="4"/>
    <x v="5"/>
    <x v="4"/>
    <x v="4"/>
    <x v="5"/>
    <x v="1"/>
    <x v="1"/>
    <x v="4"/>
    <x v="4"/>
    <x v="4"/>
    <x v="2"/>
    <x v="4"/>
    <x v="3"/>
    <x v="5"/>
    <x v="5"/>
    <x v="3"/>
    <x v="5"/>
    <x v="5"/>
  </r>
  <r>
    <x v="0"/>
    <x v="0"/>
    <x v="2"/>
    <x v="6"/>
    <x v="6"/>
    <x v="6"/>
    <x v="5"/>
    <x v="6"/>
    <x v="6"/>
    <x v="6"/>
    <x v="6"/>
    <x v="5"/>
    <x v="5"/>
    <x v="5"/>
    <x v="6"/>
    <x v="5"/>
    <x v="6"/>
    <x v="5"/>
    <x v="6"/>
    <x v="5"/>
    <x v="5"/>
    <x v="6"/>
    <x v="1"/>
    <x v="2"/>
    <x v="5"/>
    <x v="5"/>
    <x v="5"/>
    <x v="1"/>
    <x v="3"/>
    <x v="3"/>
    <x v="6"/>
    <x v="3"/>
    <x v="5"/>
    <x v="6"/>
    <x v="6"/>
  </r>
  <r>
    <x v="1"/>
    <x v="0"/>
    <x v="2"/>
    <x v="7"/>
    <x v="7"/>
    <x v="7"/>
    <x v="6"/>
    <x v="7"/>
    <x v="7"/>
    <x v="7"/>
    <x v="7"/>
    <x v="6"/>
    <x v="6"/>
    <x v="6"/>
    <x v="7"/>
    <x v="6"/>
    <x v="7"/>
    <x v="6"/>
    <x v="7"/>
    <x v="4"/>
    <x v="3"/>
    <x v="7"/>
    <x v="1"/>
    <x v="3"/>
    <x v="4"/>
    <x v="5"/>
    <x v="6"/>
    <x v="4"/>
    <x v="5"/>
    <x v="4"/>
    <x v="0"/>
    <x v="6"/>
    <x v="6"/>
    <x v="7"/>
    <x v="7"/>
  </r>
  <r>
    <x v="2"/>
    <x v="0"/>
    <x v="2"/>
    <x v="8"/>
    <x v="8"/>
    <x v="8"/>
    <x v="7"/>
    <x v="8"/>
    <x v="8"/>
    <x v="2"/>
    <x v="8"/>
    <x v="7"/>
    <x v="7"/>
    <x v="7"/>
    <x v="8"/>
    <x v="7"/>
    <x v="8"/>
    <x v="7"/>
    <x v="8"/>
    <x v="6"/>
    <x v="6"/>
    <x v="8"/>
    <x v="1"/>
    <x v="2"/>
    <x v="5"/>
    <x v="5"/>
    <x v="7"/>
    <x v="1"/>
    <x v="6"/>
    <x v="5"/>
    <x v="7"/>
    <x v="7"/>
    <x v="7"/>
    <x v="8"/>
    <x v="8"/>
  </r>
  <r>
    <x v="0"/>
    <x v="0"/>
    <x v="3"/>
    <x v="6"/>
    <x v="9"/>
    <x v="9"/>
    <x v="8"/>
    <x v="9"/>
    <x v="9"/>
    <x v="8"/>
    <x v="6"/>
    <x v="7"/>
    <x v="8"/>
    <x v="8"/>
    <x v="9"/>
    <x v="8"/>
    <x v="9"/>
    <x v="8"/>
    <x v="9"/>
    <x v="7"/>
    <x v="7"/>
    <x v="9"/>
    <x v="2"/>
    <x v="4"/>
    <x v="6"/>
    <x v="6"/>
    <x v="3"/>
    <x v="5"/>
    <x v="7"/>
    <x v="6"/>
    <x v="8"/>
    <x v="8"/>
    <x v="5"/>
    <x v="9"/>
    <x v="9"/>
  </r>
  <r>
    <x v="1"/>
    <x v="0"/>
    <x v="3"/>
    <x v="9"/>
    <x v="10"/>
    <x v="10"/>
    <x v="9"/>
    <x v="10"/>
    <x v="10"/>
    <x v="9"/>
    <x v="9"/>
    <x v="8"/>
    <x v="9"/>
    <x v="9"/>
    <x v="10"/>
    <x v="9"/>
    <x v="10"/>
    <x v="9"/>
    <x v="10"/>
    <x v="8"/>
    <x v="8"/>
    <x v="10"/>
    <x v="2"/>
    <x v="5"/>
    <x v="7"/>
    <x v="7"/>
    <x v="8"/>
    <x v="6"/>
    <x v="8"/>
    <x v="7"/>
    <x v="9"/>
    <x v="3"/>
    <x v="8"/>
    <x v="10"/>
    <x v="10"/>
  </r>
  <r>
    <x v="2"/>
    <x v="0"/>
    <x v="3"/>
    <x v="10"/>
    <x v="11"/>
    <x v="11"/>
    <x v="10"/>
    <x v="11"/>
    <x v="11"/>
    <x v="10"/>
    <x v="5"/>
    <x v="9"/>
    <x v="5"/>
    <x v="10"/>
    <x v="11"/>
    <x v="10"/>
    <x v="11"/>
    <x v="10"/>
    <x v="11"/>
    <x v="9"/>
    <x v="9"/>
    <x v="11"/>
    <x v="2"/>
    <x v="6"/>
    <x v="6"/>
    <x v="8"/>
    <x v="9"/>
    <x v="7"/>
    <x v="9"/>
    <x v="8"/>
    <x v="10"/>
    <x v="9"/>
    <x v="9"/>
    <x v="11"/>
    <x v="11"/>
  </r>
  <r>
    <x v="0"/>
    <x v="0"/>
    <x v="4"/>
    <x v="11"/>
    <x v="12"/>
    <x v="12"/>
    <x v="11"/>
    <x v="12"/>
    <x v="12"/>
    <x v="11"/>
    <x v="0"/>
    <x v="10"/>
    <x v="10"/>
    <x v="11"/>
    <x v="12"/>
    <x v="11"/>
    <x v="12"/>
    <x v="11"/>
    <x v="12"/>
    <x v="10"/>
    <x v="10"/>
    <x v="12"/>
    <x v="2"/>
    <x v="7"/>
    <x v="8"/>
    <x v="9"/>
    <x v="10"/>
    <x v="8"/>
    <x v="8"/>
    <x v="6"/>
    <x v="11"/>
    <x v="10"/>
    <x v="9"/>
    <x v="12"/>
    <x v="12"/>
  </r>
  <r>
    <x v="1"/>
    <x v="0"/>
    <x v="4"/>
    <x v="12"/>
    <x v="13"/>
    <x v="13"/>
    <x v="12"/>
    <x v="13"/>
    <x v="13"/>
    <x v="12"/>
    <x v="10"/>
    <x v="11"/>
    <x v="11"/>
    <x v="12"/>
    <x v="13"/>
    <x v="12"/>
    <x v="13"/>
    <x v="12"/>
    <x v="13"/>
    <x v="11"/>
    <x v="11"/>
    <x v="9"/>
    <x v="2"/>
    <x v="8"/>
    <x v="9"/>
    <x v="9"/>
    <x v="2"/>
    <x v="9"/>
    <x v="10"/>
    <x v="9"/>
    <x v="12"/>
    <x v="11"/>
    <x v="6"/>
    <x v="13"/>
    <x v="13"/>
  </r>
  <r>
    <x v="2"/>
    <x v="0"/>
    <x v="4"/>
    <x v="13"/>
    <x v="14"/>
    <x v="14"/>
    <x v="13"/>
    <x v="14"/>
    <x v="14"/>
    <x v="13"/>
    <x v="1"/>
    <x v="12"/>
    <x v="12"/>
    <x v="13"/>
    <x v="14"/>
    <x v="13"/>
    <x v="14"/>
    <x v="13"/>
    <x v="14"/>
    <x v="7"/>
    <x v="12"/>
    <x v="13"/>
    <x v="2"/>
    <x v="9"/>
    <x v="10"/>
    <x v="9"/>
    <x v="11"/>
    <x v="10"/>
    <x v="11"/>
    <x v="8"/>
    <x v="13"/>
    <x v="12"/>
    <x v="9"/>
    <x v="14"/>
    <x v="14"/>
  </r>
  <r>
    <x v="0"/>
    <x v="0"/>
    <x v="5"/>
    <x v="13"/>
    <x v="15"/>
    <x v="0"/>
    <x v="14"/>
    <x v="15"/>
    <x v="15"/>
    <x v="14"/>
    <x v="11"/>
    <x v="13"/>
    <x v="13"/>
    <x v="9"/>
    <x v="15"/>
    <x v="14"/>
    <x v="15"/>
    <x v="14"/>
    <x v="15"/>
    <x v="12"/>
    <x v="13"/>
    <x v="14"/>
    <x v="3"/>
    <x v="10"/>
    <x v="11"/>
    <x v="10"/>
    <x v="8"/>
    <x v="11"/>
    <x v="12"/>
    <x v="9"/>
    <x v="14"/>
    <x v="13"/>
    <x v="10"/>
    <x v="15"/>
    <x v="15"/>
  </r>
  <r>
    <x v="1"/>
    <x v="0"/>
    <x v="5"/>
    <x v="14"/>
    <x v="16"/>
    <x v="15"/>
    <x v="15"/>
    <x v="16"/>
    <x v="16"/>
    <x v="15"/>
    <x v="12"/>
    <x v="14"/>
    <x v="14"/>
    <x v="14"/>
    <x v="16"/>
    <x v="15"/>
    <x v="16"/>
    <x v="15"/>
    <x v="16"/>
    <x v="13"/>
    <x v="14"/>
    <x v="12"/>
    <x v="4"/>
    <x v="11"/>
    <x v="12"/>
    <x v="11"/>
    <x v="12"/>
    <x v="12"/>
    <x v="13"/>
    <x v="10"/>
    <x v="15"/>
    <x v="14"/>
    <x v="11"/>
    <x v="16"/>
    <x v="16"/>
  </r>
  <r>
    <x v="2"/>
    <x v="0"/>
    <x v="5"/>
    <x v="15"/>
    <x v="17"/>
    <x v="16"/>
    <x v="16"/>
    <x v="17"/>
    <x v="17"/>
    <x v="16"/>
    <x v="13"/>
    <x v="15"/>
    <x v="15"/>
    <x v="15"/>
    <x v="17"/>
    <x v="16"/>
    <x v="17"/>
    <x v="16"/>
    <x v="17"/>
    <x v="14"/>
    <x v="15"/>
    <x v="15"/>
    <x v="4"/>
    <x v="12"/>
    <x v="13"/>
    <x v="12"/>
    <x v="7"/>
    <x v="13"/>
    <x v="14"/>
    <x v="5"/>
    <x v="16"/>
    <x v="15"/>
    <x v="12"/>
    <x v="17"/>
    <x v="17"/>
  </r>
  <r>
    <x v="0"/>
    <x v="0"/>
    <x v="6"/>
    <x v="16"/>
    <x v="17"/>
    <x v="17"/>
    <x v="17"/>
    <x v="6"/>
    <x v="18"/>
    <x v="17"/>
    <x v="14"/>
    <x v="16"/>
    <x v="14"/>
    <x v="12"/>
    <x v="18"/>
    <x v="17"/>
    <x v="18"/>
    <x v="12"/>
    <x v="18"/>
    <x v="15"/>
    <x v="16"/>
    <x v="16"/>
    <x v="5"/>
    <x v="13"/>
    <x v="14"/>
    <x v="13"/>
    <x v="13"/>
    <x v="11"/>
    <x v="15"/>
    <x v="4"/>
    <x v="17"/>
    <x v="16"/>
    <x v="13"/>
    <x v="18"/>
    <x v="18"/>
  </r>
  <r>
    <x v="1"/>
    <x v="0"/>
    <x v="6"/>
    <x v="17"/>
    <x v="18"/>
    <x v="18"/>
    <x v="14"/>
    <x v="18"/>
    <x v="19"/>
    <x v="18"/>
    <x v="15"/>
    <x v="17"/>
    <x v="16"/>
    <x v="16"/>
    <x v="19"/>
    <x v="18"/>
    <x v="19"/>
    <x v="17"/>
    <x v="19"/>
    <x v="16"/>
    <x v="13"/>
    <x v="17"/>
    <x v="6"/>
    <x v="14"/>
    <x v="15"/>
    <x v="14"/>
    <x v="14"/>
    <x v="6"/>
    <x v="16"/>
    <x v="11"/>
    <x v="18"/>
    <x v="17"/>
    <x v="14"/>
    <x v="19"/>
    <x v="19"/>
  </r>
  <r>
    <x v="2"/>
    <x v="0"/>
    <x v="6"/>
    <x v="18"/>
    <x v="19"/>
    <x v="19"/>
    <x v="18"/>
    <x v="19"/>
    <x v="20"/>
    <x v="19"/>
    <x v="16"/>
    <x v="18"/>
    <x v="17"/>
    <x v="17"/>
    <x v="20"/>
    <x v="19"/>
    <x v="20"/>
    <x v="18"/>
    <x v="20"/>
    <x v="12"/>
    <x v="17"/>
    <x v="18"/>
    <x v="6"/>
    <x v="15"/>
    <x v="16"/>
    <x v="15"/>
    <x v="15"/>
    <x v="13"/>
    <x v="17"/>
    <x v="10"/>
    <x v="19"/>
    <x v="18"/>
    <x v="15"/>
    <x v="20"/>
    <x v="20"/>
  </r>
  <r>
    <x v="0"/>
    <x v="0"/>
    <x v="7"/>
    <x v="19"/>
    <x v="20"/>
    <x v="20"/>
    <x v="19"/>
    <x v="20"/>
    <x v="21"/>
    <x v="20"/>
    <x v="17"/>
    <x v="13"/>
    <x v="18"/>
    <x v="18"/>
    <x v="20"/>
    <x v="20"/>
    <x v="21"/>
    <x v="19"/>
    <x v="21"/>
    <x v="17"/>
    <x v="18"/>
    <x v="19"/>
    <x v="7"/>
    <x v="16"/>
    <x v="17"/>
    <x v="16"/>
    <x v="16"/>
    <x v="14"/>
    <x v="18"/>
    <x v="12"/>
    <x v="20"/>
    <x v="19"/>
    <x v="16"/>
    <x v="21"/>
    <x v="21"/>
  </r>
  <r>
    <x v="1"/>
    <x v="0"/>
    <x v="7"/>
    <x v="20"/>
    <x v="21"/>
    <x v="21"/>
    <x v="18"/>
    <x v="18"/>
    <x v="22"/>
    <x v="21"/>
    <x v="18"/>
    <x v="19"/>
    <x v="19"/>
    <x v="19"/>
    <x v="21"/>
    <x v="21"/>
    <x v="22"/>
    <x v="20"/>
    <x v="22"/>
    <x v="18"/>
    <x v="19"/>
    <x v="20"/>
    <x v="7"/>
    <x v="16"/>
    <x v="18"/>
    <x v="17"/>
    <x v="17"/>
    <x v="15"/>
    <x v="19"/>
    <x v="13"/>
    <x v="21"/>
    <x v="20"/>
    <x v="17"/>
    <x v="22"/>
    <x v="22"/>
  </r>
  <r>
    <x v="2"/>
    <x v="0"/>
    <x v="7"/>
    <x v="21"/>
    <x v="22"/>
    <x v="22"/>
    <x v="20"/>
    <x v="21"/>
    <x v="23"/>
    <x v="22"/>
    <x v="19"/>
    <x v="12"/>
    <x v="20"/>
    <x v="20"/>
    <x v="22"/>
    <x v="22"/>
    <x v="23"/>
    <x v="21"/>
    <x v="23"/>
    <x v="19"/>
    <x v="20"/>
    <x v="21"/>
    <x v="7"/>
    <x v="16"/>
    <x v="19"/>
    <x v="18"/>
    <x v="18"/>
    <x v="16"/>
    <x v="18"/>
    <x v="14"/>
    <x v="22"/>
    <x v="21"/>
    <x v="18"/>
    <x v="23"/>
    <x v="23"/>
  </r>
  <r>
    <x v="0"/>
    <x v="0"/>
    <x v="8"/>
    <x v="12"/>
    <x v="23"/>
    <x v="22"/>
    <x v="21"/>
    <x v="22"/>
    <x v="24"/>
    <x v="23"/>
    <x v="20"/>
    <x v="7"/>
    <x v="21"/>
    <x v="16"/>
    <x v="23"/>
    <x v="23"/>
    <x v="24"/>
    <x v="17"/>
    <x v="24"/>
    <x v="20"/>
    <x v="21"/>
    <x v="22"/>
    <x v="8"/>
    <x v="17"/>
    <x v="20"/>
    <x v="19"/>
    <x v="19"/>
    <x v="17"/>
    <x v="20"/>
    <x v="15"/>
    <x v="23"/>
    <x v="22"/>
    <x v="19"/>
    <x v="24"/>
    <x v="24"/>
  </r>
  <r>
    <x v="1"/>
    <x v="0"/>
    <x v="8"/>
    <x v="22"/>
    <x v="24"/>
    <x v="7"/>
    <x v="20"/>
    <x v="23"/>
    <x v="2"/>
    <x v="24"/>
    <x v="15"/>
    <x v="20"/>
    <x v="22"/>
    <x v="21"/>
    <x v="24"/>
    <x v="24"/>
    <x v="25"/>
    <x v="22"/>
    <x v="25"/>
    <x v="21"/>
    <x v="18"/>
    <x v="23"/>
    <x v="8"/>
    <x v="17"/>
    <x v="14"/>
    <x v="20"/>
    <x v="20"/>
    <x v="18"/>
    <x v="21"/>
    <x v="16"/>
    <x v="24"/>
    <x v="23"/>
    <x v="20"/>
    <x v="25"/>
    <x v="25"/>
  </r>
  <r>
    <x v="2"/>
    <x v="0"/>
    <x v="8"/>
    <x v="23"/>
    <x v="25"/>
    <x v="23"/>
    <x v="22"/>
    <x v="12"/>
    <x v="25"/>
    <x v="18"/>
    <x v="14"/>
    <x v="12"/>
    <x v="23"/>
    <x v="22"/>
    <x v="25"/>
    <x v="25"/>
    <x v="26"/>
    <x v="23"/>
    <x v="26"/>
    <x v="22"/>
    <x v="22"/>
    <x v="24"/>
    <x v="8"/>
    <x v="17"/>
    <x v="21"/>
    <x v="21"/>
    <x v="21"/>
    <x v="19"/>
    <x v="22"/>
    <x v="17"/>
    <x v="25"/>
    <x v="24"/>
    <x v="21"/>
    <x v="26"/>
    <x v="26"/>
  </r>
  <r>
    <x v="0"/>
    <x v="0"/>
    <x v="9"/>
    <x v="24"/>
    <x v="20"/>
    <x v="24"/>
    <x v="23"/>
    <x v="24"/>
    <x v="19"/>
    <x v="25"/>
    <x v="21"/>
    <x v="21"/>
    <x v="24"/>
    <x v="21"/>
    <x v="26"/>
    <x v="26"/>
    <x v="27"/>
    <x v="24"/>
    <x v="27"/>
    <x v="23"/>
    <x v="23"/>
    <x v="25"/>
    <x v="9"/>
    <x v="18"/>
    <x v="22"/>
    <x v="22"/>
    <x v="19"/>
    <x v="20"/>
    <x v="23"/>
    <x v="18"/>
    <x v="26"/>
    <x v="25"/>
    <x v="22"/>
    <x v="27"/>
    <x v="27"/>
  </r>
  <r>
    <x v="1"/>
    <x v="0"/>
    <x v="9"/>
    <x v="25"/>
    <x v="26"/>
    <x v="25"/>
    <x v="24"/>
    <x v="25"/>
    <x v="26"/>
    <x v="26"/>
    <x v="5"/>
    <x v="22"/>
    <x v="25"/>
    <x v="23"/>
    <x v="27"/>
    <x v="27"/>
    <x v="28"/>
    <x v="25"/>
    <x v="28"/>
    <x v="24"/>
    <x v="24"/>
    <x v="26"/>
    <x v="9"/>
    <x v="19"/>
    <x v="19"/>
    <x v="19"/>
    <x v="22"/>
    <x v="21"/>
    <x v="24"/>
    <x v="19"/>
    <x v="27"/>
    <x v="26"/>
    <x v="20"/>
    <x v="28"/>
    <x v="28"/>
  </r>
  <r>
    <x v="2"/>
    <x v="0"/>
    <x v="9"/>
    <x v="26"/>
    <x v="27"/>
    <x v="26"/>
    <x v="25"/>
    <x v="9"/>
    <x v="27"/>
    <x v="27"/>
    <x v="22"/>
    <x v="23"/>
    <x v="26"/>
    <x v="24"/>
    <x v="24"/>
    <x v="28"/>
    <x v="29"/>
    <x v="26"/>
    <x v="29"/>
    <x v="25"/>
    <x v="25"/>
    <x v="27"/>
    <x v="9"/>
    <x v="20"/>
    <x v="23"/>
    <x v="23"/>
    <x v="23"/>
    <x v="22"/>
    <x v="25"/>
    <x v="20"/>
    <x v="21"/>
    <x v="27"/>
    <x v="23"/>
    <x v="29"/>
    <x v="29"/>
  </r>
  <r>
    <x v="0"/>
    <x v="0"/>
    <x v="10"/>
    <x v="27"/>
    <x v="17"/>
    <x v="27"/>
    <x v="26"/>
    <x v="26"/>
    <x v="28"/>
    <x v="28"/>
    <x v="23"/>
    <x v="24"/>
    <x v="27"/>
    <x v="25"/>
    <x v="27"/>
    <x v="29"/>
    <x v="30"/>
    <x v="27"/>
    <x v="30"/>
    <x v="26"/>
    <x v="26"/>
    <x v="28"/>
    <x v="10"/>
    <x v="21"/>
    <x v="24"/>
    <x v="24"/>
    <x v="24"/>
    <x v="23"/>
    <x v="26"/>
    <x v="21"/>
    <x v="28"/>
    <x v="28"/>
    <x v="24"/>
    <x v="30"/>
    <x v="30"/>
  </r>
  <r>
    <x v="1"/>
    <x v="0"/>
    <x v="11"/>
    <x v="28"/>
    <x v="27"/>
    <x v="28"/>
    <x v="27"/>
    <x v="27"/>
    <x v="29"/>
    <x v="29"/>
    <x v="13"/>
    <x v="25"/>
    <x v="28"/>
    <x v="25"/>
    <x v="28"/>
    <x v="30"/>
    <x v="31"/>
    <x v="28"/>
    <x v="31"/>
    <x v="27"/>
    <x v="27"/>
    <x v="29"/>
    <x v="10"/>
    <x v="22"/>
    <x v="25"/>
    <x v="25"/>
    <x v="23"/>
    <x v="24"/>
    <x v="25"/>
    <x v="22"/>
    <x v="27"/>
    <x v="29"/>
    <x v="25"/>
    <x v="31"/>
    <x v="31"/>
  </r>
  <r>
    <x v="2"/>
    <x v="0"/>
    <x v="11"/>
    <x v="29"/>
    <x v="20"/>
    <x v="29"/>
    <x v="28"/>
    <x v="28"/>
    <x v="30"/>
    <x v="30"/>
    <x v="24"/>
    <x v="26"/>
    <x v="29"/>
    <x v="25"/>
    <x v="29"/>
    <x v="31"/>
    <x v="32"/>
    <x v="29"/>
    <x v="32"/>
    <x v="28"/>
    <x v="28"/>
    <x v="30"/>
    <x v="10"/>
    <x v="23"/>
    <x v="22"/>
    <x v="26"/>
    <x v="23"/>
    <x v="25"/>
    <x v="27"/>
    <x v="23"/>
    <x v="24"/>
    <x v="30"/>
    <x v="26"/>
    <x v="32"/>
    <x v="32"/>
  </r>
  <r>
    <x v="0"/>
    <x v="0"/>
    <x v="12"/>
    <x v="30"/>
    <x v="28"/>
    <x v="30"/>
    <x v="29"/>
    <x v="29"/>
    <x v="31"/>
    <x v="31"/>
    <x v="25"/>
    <x v="27"/>
    <x v="30"/>
    <x v="26"/>
    <x v="30"/>
    <x v="32"/>
    <x v="33"/>
    <x v="30"/>
    <x v="33"/>
    <x v="29"/>
    <x v="29"/>
    <x v="31"/>
    <x v="11"/>
    <x v="24"/>
    <x v="26"/>
    <x v="27"/>
    <x v="21"/>
    <x v="25"/>
    <x v="28"/>
    <x v="24"/>
    <x v="29"/>
    <x v="31"/>
    <x v="27"/>
    <x v="27"/>
    <x v="33"/>
  </r>
  <r>
    <x v="1"/>
    <x v="0"/>
    <x v="12"/>
    <x v="31"/>
    <x v="26"/>
    <x v="31"/>
    <x v="26"/>
    <x v="1"/>
    <x v="17"/>
    <x v="32"/>
    <x v="14"/>
    <x v="28"/>
    <x v="31"/>
    <x v="26"/>
    <x v="31"/>
    <x v="23"/>
    <x v="34"/>
    <x v="31"/>
    <x v="32"/>
    <x v="30"/>
    <x v="30"/>
    <x v="32"/>
    <x v="11"/>
    <x v="21"/>
    <x v="27"/>
    <x v="28"/>
    <x v="22"/>
    <x v="26"/>
    <x v="29"/>
    <x v="25"/>
    <x v="30"/>
    <x v="32"/>
    <x v="24"/>
    <x v="33"/>
    <x v="34"/>
  </r>
  <r>
    <x v="2"/>
    <x v="0"/>
    <x v="12"/>
    <x v="32"/>
    <x v="29"/>
    <x v="32"/>
    <x v="30"/>
    <x v="30"/>
    <x v="32"/>
    <x v="33"/>
    <x v="26"/>
    <x v="29"/>
    <x v="32"/>
    <x v="26"/>
    <x v="32"/>
    <x v="33"/>
    <x v="35"/>
    <x v="32"/>
    <x v="34"/>
    <x v="31"/>
    <x v="31"/>
    <x v="33"/>
    <x v="11"/>
    <x v="25"/>
    <x v="28"/>
    <x v="29"/>
    <x v="25"/>
    <x v="24"/>
    <x v="26"/>
    <x v="26"/>
    <x v="31"/>
    <x v="33"/>
    <x v="28"/>
    <x v="34"/>
    <x v="35"/>
  </r>
  <r>
    <x v="0"/>
    <x v="1"/>
    <x v="0"/>
    <x v="25"/>
    <x v="30"/>
    <x v="33"/>
    <x v="31"/>
    <x v="31"/>
    <x v="31"/>
    <x v="34"/>
    <x v="27"/>
    <x v="30"/>
    <x v="33"/>
    <x v="27"/>
    <x v="33"/>
    <x v="34"/>
    <x v="36"/>
    <x v="32"/>
    <x v="35"/>
    <x v="32"/>
    <x v="32"/>
    <x v="34"/>
    <x v="12"/>
    <x v="26"/>
    <x v="29"/>
    <x v="30"/>
    <x v="26"/>
    <x v="27"/>
    <x v="30"/>
    <x v="27"/>
    <x v="32"/>
    <x v="34"/>
    <x v="29"/>
    <x v="24"/>
    <x v="36"/>
  </r>
  <r>
    <x v="1"/>
    <x v="1"/>
    <x v="0"/>
    <x v="33"/>
    <x v="31"/>
    <x v="34"/>
    <x v="32"/>
    <x v="32"/>
    <x v="33"/>
    <x v="35"/>
    <x v="28"/>
    <x v="31"/>
    <x v="34"/>
    <x v="26"/>
    <x v="34"/>
    <x v="35"/>
    <x v="37"/>
    <x v="33"/>
    <x v="36"/>
    <x v="33"/>
    <x v="33"/>
    <x v="35"/>
    <x v="12"/>
    <x v="27"/>
    <x v="30"/>
    <x v="31"/>
    <x v="27"/>
    <x v="28"/>
    <x v="26"/>
    <x v="28"/>
    <x v="31"/>
    <x v="35"/>
    <x v="30"/>
    <x v="35"/>
    <x v="37"/>
  </r>
  <r>
    <x v="2"/>
    <x v="1"/>
    <x v="0"/>
    <x v="34"/>
    <x v="32"/>
    <x v="35"/>
    <x v="33"/>
    <x v="28"/>
    <x v="34"/>
    <x v="36"/>
    <x v="29"/>
    <x v="22"/>
    <x v="35"/>
    <x v="28"/>
    <x v="31"/>
    <x v="36"/>
    <x v="38"/>
    <x v="34"/>
    <x v="33"/>
    <x v="34"/>
    <x v="34"/>
    <x v="36"/>
    <x v="12"/>
    <x v="28"/>
    <x v="31"/>
    <x v="32"/>
    <x v="28"/>
    <x v="23"/>
    <x v="31"/>
    <x v="29"/>
    <x v="29"/>
    <x v="36"/>
    <x v="29"/>
    <x v="36"/>
    <x v="38"/>
  </r>
  <r>
    <x v="0"/>
    <x v="1"/>
    <x v="1"/>
    <x v="35"/>
    <x v="33"/>
    <x v="36"/>
    <x v="34"/>
    <x v="31"/>
    <x v="28"/>
    <x v="37"/>
    <x v="30"/>
    <x v="32"/>
    <x v="36"/>
    <x v="29"/>
    <x v="35"/>
    <x v="37"/>
    <x v="39"/>
    <x v="35"/>
    <x v="37"/>
    <x v="32"/>
    <x v="35"/>
    <x v="37"/>
    <x v="13"/>
    <x v="29"/>
    <x v="32"/>
    <x v="33"/>
    <x v="27"/>
    <x v="29"/>
    <x v="32"/>
    <x v="30"/>
    <x v="33"/>
    <x v="37"/>
    <x v="31"/>
    <x v="28"/>
    <x v="39"/>
  </r>
  <r>
    <x v="1"/>
    <x v="1"/>
    <x v="1"/>
    <x v="36"/>
    <x v="31"/>
    <x v="37"/>
    <x v="35"/>
    <x v="33"/>
    <x v="35"/>
    <x v="38"/>
    <x v="24"/>
    <x v="33"/>
    <x v="37"/>
    <x v="26"/>
    <x v="36"/>
    <x v="38"/>
    <x v="40"/>
    <x v="36"/>
    <x v="38"/>
    <x v="35"/>
    <x v="36"/>
    <x v="38"/>
    <x v="13"/>
    <x v="26"/>
    <x v="20"/>
    <x v="34"/>
    <x v="29"/>
    <x v="29"/>
    <x v="33"/>
    <x v="31"/>
    <x v="29"/>
    <x v="38"/>
    <x v="32"/>
    <x v="37"/>
    <x v="40"/>
  </r>
  <r>
    <x v="2"/>
    <x v="1"/>
    <x v="1"/>
    <x v="37"/>
    <x v="18"/>
    <x v="38"/>
    <x v="36"/>
    <x v="34"/>
    <x v="36"/>
    <x v="39"/>
    <x v="31"/>
    <x v="34"/>
    <x v="38"/>
    <x v="30"/>
    <x v="37"/>
    <x v="37"/>
    <x v="41"/>
    <x v="37"/>
    <x v="39"/>
    <x v="36"/>
    <x v="37"/>
    <x v="39"/>
    <x v="13"/>
    <x v="30"/>
    <x v="33"/>
    <x v="35"/>
    <x v="30"/>
    <x v="29"/>
    <x v="34"/>
    <x v="32"/>
    <x v="32"/>
    <x v="39"/>
    <x v="31"/>
    <x v="36"/>
    <x v="41"/>
  </r>
  <r>
    <x v="0"/>
    <x v="1"/>
    <x v="2"/>
    <x v="38"/>
    <x v="26"/>
    <x v="39"/>
    <x v="37"/>
    <x v="35"/>
    <x v="37"/>
    <x v="40"/>
    <x v="32"/>
    <x v="35"/>
    <x v="39"/>
    <x v="31"/>
    <x v="38"/>
    <x v="39"/>
    <x v="42"/>
    <x v="38"/>
    <x v="40"/>
    <x v="37"/>
    <x v="38"/>
    <x v="40"/>
    <x v="14"/>
    <x v="31"/>
    <x v="34"/>
    <x v="36"/>
    <x v="31"/>
    <x v="30"/>
    <x v="35"/>
    <x v="33"/>
    <x v="34"/>
    <x v="40"/>
    <x v="33"/>
    <x v="38"/>
    <x v="42"/>
  </r>
  <r>
    <x v="1"/>
    <x v="1"/>
    <x v="2"/>
    <x v="39"/>
    <x v="34"/>
    <x v="40"/>
    <x v="38"/>
    <x v="36"/>
    <x v="38"/>
    <x v="41"/>
    <x v="29"/>
    <x v="36"/>
    <x v="40"/>
    <x v="32"/>
    <x v="39"/>
    <x v="34"/>
    <x v="43"/>
    <x v="39"/>
    <x v="33"/>
    <x v="38"/>
    <x v="39"/>
    <x v="41"/>
    <x v="14"/>
    <x v="32"/>
    <x v="23"/>
    <x v="37"/>
    <x v="32"/>
    <x v="31"/>
    <x v="36"/>
    <x v="34"/>
    <x v="32"/>
    <x v="41"/>
    <x v="34"/>
    <x v="26"/>
    <x v="43"/>
  </r>
  <r>
    <x v="2"/>
    <x v="1"/>
    <x v="2"/>
    <x v="40"/>
    <x v="35"/>
    <x v="41"/>
    <x v="37"/>
    <x v="37"/>
    <x v="39"/>
    <x v="42"/>
    <x v="30"/>
    <x v="37"/>
    <x v="41"/>
    <x v="33"/>
    <x v="40"/>
    <x v="40"/>
    <x v="44"/>
    <x v="40"/>
    <x v="41"/>
    <x v="39"/>
    <x v="40"/>
    <x v="42"/>
    <x v="14"/>
    <x v="33"/>
    <x v="35"/>
    <x v="38"/>
    <x v="33"/>
    <x v="32"/>
    <x v="37"/>
    <x v="35"/>
    <x v="33"/>
    <x v="42"/>
    <x v="33"/>
    <x v="24"/>
    <x v="44"/>
  </r>
  <r>
    <x v="0"/>
    <x v="1"/>
    <x v="3"/>
    <x v="37"/>
    <x v="36"/>
    <x v="42"/>
    <x v="39"/>
    <x v="38"/>
    <x v="40"/>
    <x v="43"/>
    <x v="33"/>
    <x v="6"/>
    <x v="42"/>
    <x v="34"/>
    <x v="41"/>
    <x v="41"/>
    <x v="45"/>
    <x v="41"/>
    <x v="42"/>
    <x v="40"/>
    <x v="41"/>
    <x v="43"/>
    <x v="15"/>
    <x v="34"/>
    <x v="34"/>
    <x v="39"/>
    <x v="31"/>
    <x v="30"/>
    <x v="38"/>
    <x v="36"/>
    <x v="35"/>
    <x v="43"/>
    <x v="35"/>
    <x v="39"/>
    <x v="45"/>
  </r>
  <r>
    <x v="1"/>
    <x v="1"/>
    <x v="3"/>
    <x v="41"/>
    <x v="37"/>
    <x v="26"/>
    <x v="39"/>
    <x v="39"/>
    <x v="41"/>
    <x v="44"/>
    <x v="33"/>
    <x v="38"/>
    <x v="43"/>
    <x v="33"/>
    <x v="42"/>
    <x v="42"/>
    <x v="46"/>
    <x v="42"/>
    <x v="43"/>
    <x v="41"/>
    <x v="42"/>
    <x v="44"/>
    <x v="15"/>
    <x v="31"/>
    <x v="23"/>
    <x v="40"/>
    <x v="31"/>
    <x v="33"/>
    <x v="39"/>
    <x v="37"/>
    <x v="36"/>
    <x v="44"/>
    <x v="34"/>
    <x v="40"/>
    <x v="46"/>
  </r>
  <r>
    <x v="2"/>
    <x v="1"/>
    <x v="3"/>
    <x v="42"/>
    <x v="38"/>
    <x v="27"/>
    <x v="39"/>
    <x v="30"/>
    <x v="42"/>
    <x v="45"/>
    <x v="33"/>
    <x v="30"/>
    <x v="44"/>
    <x v="35"/>
    <x v="43"/>
    <x v="43"/>
    <x v="45"/>
    <x v="43"/>
    <x v="44"/>
    <x v="42"/>
    <x v="43"/>
    <x v="45"/>
    <x v="15"/>
    <x v="35"/>
    <x v="35"/>
    <x v="36"/>
    <x v="31"/>
    <x v="32"/>
    <x v="40"/>
    <x v="38"/>
    <x v="37"/>
    <x v="41"/>
    <x v="35"/>
    <x v="41"/>
    <x v="47"/>
  </r>
  <r>
    <x v="0"/>
    <x v="1"/>
    <x v="4"/>
    <x v="43"/>
    <x v="39"/>
    <x v="4"/>
    <x v="40"/>
    <x v="40"/>
    <x v="43"/>
    <x v="34"/>
    <x v="34"/>
    <x v="9"/>
    <x v="45"/>
    <x v="36"/>
    <x v="44"/>
    <x v="42"/>
    <x v="47"/>
    <x v="44"/>
    <x v="45"/>
    <x v="43"/>
    <x v="44"/>
    <x v="46"/>
    <x v="16"/>
    <x v="36"/>
    <x v="34"/>
    <x v="41"/>
    <x v="33"/>
    <x v="30"/>
    <x v="41"/>
    <x v="39"/>
    <x v="38"/>
    <x v="41"/>
    <x v="36"/>
    <x v="42"/>
    <x v="48"/>
  </r>
  <r>
    <x v="1"/>
    <x v="1"/>
    <x v="4"/>
    <x v="44"/>
    <x v="40"/>
    <x v="43"/>
    <x v="41"/>
    <x v="4"/>
    <x v="44"/>
    <x v="46"/>
    <x v="35"/>
    <x v="17"/>
    <x v="46"/>
    <x v="29"/>
    <x v="45"/>
    <x v="44"/>
    <x v="48"/>
    <x v="45"/>
    <x v="41"/>
    <x v="44"/>
    <x v="32"/>
    <x v="47"/>
    <x v="16"/>
    <x v="36"/>
    <x v="20"/>
    <x v="42"/>
    <x v="29"/>
    <x v="34"/>
    <x v="37"/>
    <x v="38"/>
    <x v="39"/>
    <x v="45"/>
    <x v="37"/>
    <x v="43"/>
    <x v="49"/>
  </r>
  <r>
    <x v="2"/>
    <x v="1"/>
    <x v="4"/>
    <x v="45"/>
    <x v="41"/>
    <x v="44"/>
    <x v="42"/>
    <x v="24"/>
    <x v="45"/>
    <x v="47"/>
    <x v="36"/>
    <x v="39"/>
    <x v="47"/>
    <x v="37"/>
    <x v="46"/>
    <x v="45"/>
    <x v="49"/>
    <x v="46"/>
    <x v="46"/>
    <x v="45"/>
    <x v="45"/>
    <x v="48"/>
    <x v="16"/>
    <x v="36"/>
    <x v="35"/>
    <x v="43"/>
    <x v="29"/>
    <x v="33"/>
    <x v="38"/>
    <x v="40"/>
    <x v="35"/>
    <x v="44"/>
    <x v="36"/>
    <x v="44"/>
    <x v="50"/>
  </r>
  <r>
    <x v="0"/>
    <x v="1"/>
    <x v="5"/>
    <x v="40"/>
    <x v="41"/>
    <x v="45"/>
    <x v="43"/>
    <x v="41"/>
    <x v="46"/>
    <x v="48"/>
    <x v="37"/>
    <x v="24"/>
    <x v="48"/>
    <x v="38"/>
    <x v="47"/>
    <x v="46"/>
    <x v="50"/>
    <x v="47"/>
    <x v="47"/>
    <x v="46"/>
    <x v="46"/>
    <x v="49"/>
    <x v="15"/>
    <x v="37"/>
    <x v="36"/>
    <x v="44"/>
    <x v="34"/>
    <x v="28"/>
    <x v="42"/>
    <x v="41"/>
    <x v="40"/>
    <x v="46"/>
    <x v="38"/>
    <x v="45"/>
    <x v="51"/>
  </r>
  <r>
    <x v="1"/>
    <x v="1"/>
    <x v="5"/>
    <x v="46"/>
    <x v="42"/>
    <x v="46"/>
    <x v="44"/>
    <x v="1"/>
    <x v="47"/>
    <x v="49"/>
    <x v="38"/>
    <x v="14"/>
    <x v="49"/>
    <x v="35"/>
    <x v="48"/>
    <x v="47"/>
    <x v="51"/>
    <x v="48"/>
    <x v="44"/>
    <x v="34"/>
    <x v="35"/>
    <x v="50"/>
    <x v="15"/>
    <x v="38"/>
    <x v="37"/>
    <x v="45"/>
    <x v="35"/>
    <x v="29"/>
    <x v="35"/>
    <x v="37"/>
    <x v="41"/>
    <x v="47"/>
    <x v="39"/>
    <x v="46"/>
    <x v="52"/>
  </r>
  <r>
    <x v="2"/>
    <x v="1"/>
    <x v="5"/>
    <x v="47"/>
    <x v="43"/>
    <x v="47"/>
    <x v="45"/>
    <x v="42"/>
    <x v="48"/>
    <x v="50"/>
    <x v="39"/>
    <x v="27"/>
    <x v="50"/>
    <x v="36"/>
    <x v="49"/>
    <x v="48"/>
    <x v="52"/>
    <x v="49"/>
    <x v="48"/>
    <x v="47"/>
    <x v="47"/>
    <x v="51"/>
    <x v="15"/>
    <x v="39"/>
    <x v="32"/>
    <x v="46"/>
    <x v="36"/>
    <x v="27"/>
    <x v="43"/>
    <x v="42"/>
    <x v="42"/>
    <x v="48"/>
    <x v="38"/>
    <x v="47"/>
    <x v="53"/>
  </r>
  <r>
    <x v="0"/>
    <x v="1"/>
    <x v="6"/>
    <x v="48"/>
    <x v="44"/>
    <x v="48"/>
    <x v="46"/>
    <x v="43"/>
    <x v="49"/>
    <x v="51"/>
    <x v="40"/>
    <x v="40"/>
    <x v="51"/>
    <x v="39"/>
    <x v="50"/>
    <x v="49"/>
    <x v="53"/>
    <x v="50"/>
    <x v="49"/>
    <x v="48"/>
    <x v="48"/>
    <x v="52"/>
    <x v="17"/>
    <x v="40"/>
    <x v="38"/>
    <x v="47"/>
    <x v="37"/>
    <x v="35"/>
    <x v="44"/>
    <x v="43"/>
    <x v="43"/>
    <x v="47"/>
    <x v="40"/>
    <x v="48"/>
    <x v="54"/>
  </r>
  <r>
    <x v="1"/>
    <x v="1"/>
    <x v="6"/>
    <x v="49"/>
    <x v="45"/>
    <x v="49"/>
    <x v="47"/>
    <x v="4"/>
    <x v="50"/>
    <x v="52"/>
    <x v="41"/>
    <x v="23"/>
    <x v="52"/>
    <x v="40"/>
    <x v="51"/>
    <x v="50"/>
    <x v="54"/>
    <x v="51"/>
    <x v="46"/>
    <x v="49"/>
    <x v="49"/>
    <x v="45"/>
    <x v="17"/>
    <x v="37"/>
    <x v="22"/>
    <x v="48"/>
    <x v="38"/>
    <x v="36"/>
    <x v="40"/>
    <x v="44"/>
    <x v="44"/>
    <x v="49"/>
    <x v="41"/>
    <x v="49"/>
    <x v="55"/>
  </r>
  <r>
    <x v="2"/>
    <x v="1"/>
    <x v="6"/>
    <x v="50"/>
    <x v="46"/>
    <x v="50"/>
    <x v="48"/>
    <x v="44"/>
    <x v="47"/>
    <x v="53"/>
    <x v="40"/>
    <x v="13"/>
    <x v="53"/>
    <x v="41"/>
    <x v="52"/>
    <x v="51"/>
    <x v="55"/>
    <x v="52"/>
    <x v="50"/>
    <x v="50"/>
    <x v="50"/>
    <x v="53"/>
    <x v="17"/>
    <x v="41"/>
    <x v="39"/>
    <x v="49"/>
    <x v="39"/>
    <x v="31"/>
    <x v="45"/>
    <x v="45"/>
    <x v="45"/>
    <x v="50"/>
    <x v="42"/>
    <x v="50"/>
    <x v="56"/>
  </r>
  <r>
    <x v="0"/>
    <x v="1"/>
    <x v="7"/>
    <x v="51"/>
    <x v="47"/>
    <x v="50"/>
    <x v="49"/>
    <x v="45"/>
    <x v="51"/>
    <x v="54"/>
    <x v="42"/>
    <x v="1"/>
    <x v="54"/>
    <x v="42"/>
    <x v="45"/>
    <x v="52"/>
    <x v="56"/>
    <x v="52"/>
    <x v="51"/>
    <x v="51"/>
    <x v="51"/>
    <x v="54"/>
    <x v="18"/>
    <x v="42"/>
    <x v="40"/>
    <x v="50"/>
    <x v="37"/>
    <x v="37"/>
    <x v="46"/>
    <x v="46"/>
    <x v="46"/>
    <x v="51"/>
    <x v="41"/>
    <x v="51"/>
    <x v="57"/>
  </r>
  <r>
    <x v="1"/>
    <x v="1"/>
    <x v="7"/>
    <x v="52"/>
    <x v="48"/>
    <x v="51"/>
    <x v="50"/>
    <x v="46"/>
    <x v="52"/>
    <x v="55"/>
    <x v="43"/>
    <x v="23"/>
    <x v="55"/>
    <x v="43"/>
    <x v="53"/>
    <x v="53"/>
    <x v="57"/>
    <x v="53"/>
    <x v="52"/>
    <x v="52"/>
    <x v="52"/>
    <x v="55"/>
    <x v="18"/>
    <x v="43"/>
    <x v="41"/>
    <x v="51"/>
    <x v="40"/>
    <x v="38"/>
    <x v="47"/>
    <x v="47"/>
    <x v="47"/>
    <x v="52"/>
    <x v="43"/>
    <x v="52"/>
    <x v="58"/>
  </r>
  <r>
    <x v="2"/>
    <x v="1"/>
    <x v="7"/>
    <x v="44"/>
    <x v="49"/>
    <x v="52"/>
    <x v="51"/>
    <x v="47"/>
    <x v="53"/>
    <x v="56"/>
    <x v="44"/>
    <x v="16"/>
    <x v="56"/>
    <x v="44"/>
    <x v="54"/>
    <x v="54"/>
    <x v="58"/>
    <x v="54"/>
    <x v="53"/>
    <x v="43"/>
    <x v="53"/>
    <x v="56"/>
    <x v="18"/>
    <x v="44"/>
    <x v="42"/>
    <x v="52"/>
    <x v="41"/>
    <x v="39"/>
    <x v="48"/>
    <x v="48"/>
    <x v="48"/>
    <x v="53"/>
    <x v="44"/>
    <x v="53"/>
    <x v="59"/>
  </r>
  <r>
    <x v="0"/>
    <x v="1"/>
    <x v="8"/>
    <x v="53"/>
    <x v="50"/>
    <x v="50"/>
    <x v="52"/>
    <x v="43"/>
    <x v="54"/>
    <x v="57"/>
    <x v="45"/>
    <x v="41"/>
    <x v="57"/>
    <x v="45"/>
    <x v="55"/>
    <x v="52"/>
    <x v="59"/>
    <x v="55"/>
    <x v="54"/>
    <x v="53"/>
    <x v="54"/>
    <x v="57"/>
    <x v="19"/>
    <x v="45"/>
    <x v="43"/>
    <x v="53"/>
    <x v="41"/>
    <x v="33"/>
    <x v="49"/>
    <x v="49"/>
    <x v="49"/>
    <x v="53"/>
    <x v="44"/>
    <x v="54"/>
    <x v="60"/>
  </r>
  <r>
    <x v="1"/>
    <x v="1"/>
    <x v="8"/>
    <x v="54"/>
    <x v="51"/>
    <x v="53"/>
    <x v="52"/>
    <x v="4"/>
    <x v="55"/>
    <x v="58"/>
    <x v="46"/>
    <x v="11"/>
    <x v="58"/>
    <x v="41"/>
    <x v="56"/>
    <x v="55"/>
    <x v="60"/>
    <x v="56"/>
    <x v="55"/>
    <x v="32"/>
    <x v="55"/>
    <x v="58"/>
    <x v="19"/>
    <x v="46"/>
    <x v="41"/>
    <x v="54"/>
    <x v="31"/>
    <x v="40"/>
    <x v="43"/>
    <x v="50"/>
    <x v="50"/>
    <x v="54"/>
    <x v="45"/>
    <x v="50"/>
    <x v="61"/>
  </r>
  <r>
    <x v="2"/>
    <x v="1"/>
    <x v="8"/>
    <x v="55"/>
    <x v="52"/>
    <x v="52"/>
    <x v="52"/>
    <x v="44"/>
    <x v="56"/>
    <x v="59"/>
    <x v="47"/>
    <x v="4"/>
    <x v="59"/>
    <x v="42"/>
    <x v="57"/>
    <x v="56"/>
    <x v="61"/>
    <x v="57"/>
    <x v="49"/>
    <x v="54"/>
    <x v="56"/>
    <x v="59"/>
    <x v="19"/>
    <x v="47"/>
    <x v="44"/>
    <x v="55"/>
    <x v="42"/>
    <x v="41"/>
    <x v="50"/>
    <x v="48"/>
    <x v="51"/>
    <x v="55"/>
    <x v="44"/>
    <x v="55"/>
    <x v="62"/>
  </r>
  <r>
    <x v="0"/>
    <x v="1"/>
    <x v="9"/>
    <x v="56"/>
    <x v="44"/>
    <x v="54"/>
    <x v="53"/>
    <x v="48"/>
    <x v="57"/>
    <x v="60"/>
    <x v="48"/>
    <x v="42"/>
    <x v="43"/>
    <x v="46"/>
    <x v="58"/>
    <x v="57"/>
    <x v="62"/>
    <x v="58"/>
    <x v="56"/>
    <x v="55"/>
    <x v="57"/>
    <x v="60"/>
    <x v="20"/>
    <x v="48"/>
    <x v="45"/>
    <x v="56"/>
    <x v="43"/>
    <x v="34"/>
    <x v="51"/>
    <x v="51"/>
    <x v="52"/>
    <x v="56"/>
    <x v="46"/>
    <x v="56"/>
    <x v="63"/>
  </r>
  <r>
    <x v="1"/>
    <x v="1"/>
    <x v="9"/>
    <x v="57"/>
    <x v="53"/>
    <x v="50"/>
    <x v="54"/>
    <x v="4"/>
    <x v="58"/>
    <x v="61"/>
    <x v="49"/>
    <x v="35"/>
    <x v="60"/>
    <x v="44"/>
    <x v="59"/>
    <x v="56"/>
    <x v="63"/>
    <x v="56"/>
    <x v="50"/>
    <x v="37"/>
    <x v="58"/>
    <x v="61"/>
    <x v="20"/>
    <x v="49"/>
    <x v="46"/>
    <x v="57"/>
    <x v="44"/>
    <x v="42"/>
    <x v="52"/>
    <x v="47"/>
    <x v="53"/>
    <x v="57"/>
    <x v="44"/>
    <x v="57"/>
    <x v="64"/>
  </r>
  <r>
    <x v="2"/>
    <x v="1"/>
    <x v="9"/>
    <x v="58"/>
    <x v="54"/>
    <x v="42"/>
    <x v="53"/>
    <x v="44"/>
    <x v="59"/>
    <x v="62"/>
    <x v="50"/>
    <x v="12"/>
    <x v="61"/>
    <x v="47"/>
    <x v="60"/>
    <x v="58"/>
    <x v="64"/>
    <x v="59"/>
    <x v="57"/>
    <x v="56"/>
    <x v="59"/>
    <x v="62"/>
    <x v="20"/>
    <x v="45"/>
    <x v="47"/>
    <x v="58"/>
    <x v="36"/>
    <x v="43"/>
    <x v="53"/>
    <x v="52"/>
    <x v="54"/>
    <x v="58"/>
    <x v="43"/>
    <x v="55"/>
    <x v="65"/>
  </r>
  <r>
    <x v="0"/>
    <x v="1"/>
    <x v="11"/>
    <x v="44"/>
    <x v="55"/>
    <x v="55"/>
    <x v="55"/>
    <x v="48"/>
    <x v="60"/>
    <x v="63"/>
    <x v="51"/>
    <x v="18"/>
    <x v="62"/>
    <x v="46"/>
    <x v="60"/>
    <x v="59"/>
    <x v="65"/>
    <x v="57"/>
    <x v="58"/>
    <x v="57"/>
    <x v="60"/>
    <x v="63"/>
    <x v="21"/>
    <x v="50"/>
    <x v="48"/>
    <x v="59"/>
    <x v="42"/>
    <x v="35"/>
    <x v="54"/>
    <x v="53"/>
    <x v="55"/>
    <x v="58"/>
    <x v="47"/>
    <x v="58"/>
    <x v="66"/>
  </r>
  <r>
    <x v="1"/>
    <x v="1"/>
    <x v="11"/>
    <x v="59"/>
    <x v="56"/>
    <x v="56"/>
    <x v="56"/>
    <x v="27"/>
    <x v="61"/>
    <x v="64"/>
    <x v="52"/>
    <x v="43"/>
    <x v="63"/>
    <x v="42"/>
    <x v="61"/>
    <x v="58"/>
    <x v="66"/>
    <x v="60"/>
    <x v="59"/>
    <x v="58"/>
    <x v="61"/>
    <x v="64"/>
    <x v="21"/>
    <x v="51"/>
    <x v="24"/>
    <x v="60"/>
    <x v="22"/>
    <x v="43"/>
    <x v="55"/>
    <x v="54"/>
    <x v="56"/>
    <x v="59"/>
    <x v="48"/>
    <x v="59"/>
    <x v="67"/>
  </r>
  <r>
    <x v="2"/>
    <x v="1"/>
    <x v="11"/>
    <x v="60"/>
    <x v="57"/>
    <x v="41"/>
    <x v="57"/>
    <x v="42"/>
    <x v="62"/>
    <x v="65"/>
    <x v="53"/>
    <x v="44"/>
    <x v="64"/>
    <x v="48"/>
    <x v="62"/>
    <x v="57"/>
    <x v="59"/>
    <x v="61"/>
    <x v="60"/>
    <x v="59"/>
    <x v="62"/>
    <x v="65"/>
    <x v="21"/>
    <x v="52"/>
    <x v="49"/>
    <x v="61"/>
    <x v="27"/>
    <x v="33"/>
    <x v="56"/>
    <x v="52"/>
    <x v="57"/>
    <x v="60"/>
    <x v="49"/>
    <x v="55"/>
    <x v="68"/>
  </r>
  <r>
    <x v="0"/>
    <x v="1"/>
    <x v="12"/>
    <x v="50"/>
    <x v="50"/>
    <x v="57"/>
    <x v="57"/>
    <x v="49"/>
    <x v="63"/>
    <x v="66"/>
    <x v="54"/>
    <x v="8"/>
    <x v="65"/>
    <x v="49"/>
    <x v="63"/>
    <x v="49"/>
    <x v="67"/>
    <x v="62"/>
    <x v="61"/>
    <x v="60"/>
    <x v="63"/>
    <x v="66"/>
    <x v="22"/>
    <x v="53"/>
    <x v="50"/>
    <x v="62"/>
    <x v="35"/>
    <x v="37"/>
    <x v="57"/>
    <x v="55"/>
    <x v="58"/>
    <x v="58"/>
    <x v="50"/>
    <x v="53"/>
    <x v="60"/>
  </r>
  <r>
    <x v="1"/>
    <x v="1"/>
    <x v="12"/>
    <x v="61"/>
    <x v="58"/>
    <x v="58"/>
    <x v="58"/>
    <x v="50"/>
    <x v="64"/>
    <x v="67"/>
    <x v="55"/>
    <x v="45"/>
    <x v="66"/>
    <x v="47"/>
    <x v="64"/>
    <x v="60"/>
    <x v="68"/>
    <x v="63"/>
    <x v="49"/>
    <x v="61"/>
    <x v="64"/>
    <x v="67"/>
    <x v="22"/>
    <x v="54"/>
    <x v="29"/>
    <x v="63"/>
    <x v="45"/>
    <x v="44"/>
    <x v="58"/>
    <x v="49"/>
    <x v="59"/>
    <x v="61"/>
    <x v="48"/>
    <x v="60"/>
    <x v="69"/>
  </r>
  <r>
    <x v="2"/>
    <x v="1"/>
    <x v="12"/>
    <x v="55"/>
    <x v="59"/>
    <x v="32"/>
    <x v="59"/>
    <x v="51"/>
    <x v="62"/>
    <x v="68"/>
    <x v="56"/>
    <x v="46"/>
    <x v="67"/>
    <x v="46"/>
    <x v="65"/>
    <x v="61"/>
    <x v="69"/>
    <x v="53"/>
    <x v="62"/>
    <x v="62"/>
    <x v="65"/>
    <x v="68"/>
    <x v="22"/>
    <x v="48"/>
    <x v="51"/>
    <x v="64"/>
    <x v="46"/>
    <x v="45"/>
    <x v="59"/>
    <x v="56"/>
    <x v="60"/>
    <x v="62"/>
    <x v="49"/>
    <x v="61"/>
    <x v="70"/>
  </r>
  <r>
    <x v="0"/>
    <x v="2"/>
    <x v="0"/>
    <x v="46"/>
    <x v="43"/>
    <x v="59"/>
    <x v="58"/>
    <x v="52"/>
    <x v="65"/>
    <x v="69"/>
    <x v="53"/>
    <x v="47"/>
    <x v="68"/>
    <x v="50"/>
    <x v="62"/>
    <x v="62"/>
    <x v="70"/>
    <x v="64"/>
    <x v="63"/>
    <x v="63"/>
    <x v="66"/>
    <x v="69"/>
    <x v="23"/>
    <x v="55"/>
    <x v="52"/>
    <x v="65"/>
    <x v="44"/>
    <x v="46"/>
    <x v="60"/>
    <x v="57"/>
    <x v="61"/>
    <x v="59"/>
    <x v="51"/>
    <x v="53"/>
    <x v="71"/>
  </r>
  <r>
    <x v="1"/>
    <x v="2"/>
    <x v="0"/>
    <x v="61"/>
    <x v="60"/>
    <x v="60"/>
    <x v="60"/>
    <x v="19"/>
    <x v="66"/>
    <x v="70"/>
    <x v="57"/>
    <x v="48"/>
    <x v="69"/>
    <x v="45"/>
    <x v="66"/>
    <x v="63"/>
    <x v="71"/>
    <x v="65"/>
    <x v="64"/>
    <x v="40"/>
    <x v="67"/>
    <x v="70"/>
    <x v="23"/>
    <x v="56"/>
    <x v="34"/>
    <x v="66"/>
    <x v="47"/>
    <x v="47"/>
    <x v="50"/>
    <x v="58"/>
    <x v="62"/>
    <x v="63"/>
    <x v="48"/>
    <x v="62"/>
    <x v="72"/>
  </r>
  <r>
    <x v="2"/>
    <x v="2"/>
    <x v="0"/>
    <x v="62"/>
    <x v="46"/>
    <x v="61"/>
    <x v="61"/>
    <x v="53"/>
    <x v="67"/>
    <x v="71"/>
    <x v="58"/>
    <x v="49"/>
    <x v="70"/>
    <x v="49"/>
    <x v="67"/>
    <x v="64"/>
    <x v="72"/>
    <x v="66"/>
    <x v="65"/>
    <x v="64"/>
    <x v="68"/>
    <x v="71"/>
    <x v="23"/>
    <x v="50"/>
    <x v="53"/>
    <x v="67"/>
    <x v="48"/>
    <x v="48"/>
    <x v="61"/>
    <x v="59"/>
    <x v="63"/>
    <x v="61"/>
    <x v="46"/>
    <x v="48"/>
    <x v="61"/>
  </r>
  <r>
    <x v="0"/>
    <x v="2"/>
    <x v="1"/>
    <x v="62"/>
    <x v="49"/>
    <x v="59"/>
    <x v="62"/>
    <x v="54"/>
    <x v="68"/>
    <x v="72"/>
    <x v="59"/>
    <x v="50"/>
    <x v="71"/>
    <x v="51"/>
    <x v="68"/>
    <x v="62"/>
    <x v="73"/>
    <x v="67"/>
    <x v="66"/>
    <x v="65"/>
    <x v="69"/>
    <x v="72"/>
    <x v="24"/>
    <x v="57"/>
    <x v="54"/>
    <x v="68"/>
    <x v="49"/>
    <x v="49"/>
    <x v="62"/>
    <x v="60"/>
    <x v="64"/>
    <x v="64"/>
    <x v="52"/>
    <x v="63"/>
    <x v="73"/>
  </r>
  <r>
    <x v="1"/>
    <x v="2"/>
    <x v="1"/>
    <x v="63"/>
    <x v="61"/>
    <x v="62"/>
    <x v="63"/>
    <x v="8"/>
    <x v="69"/>
    <x v="73"/>
    <x v="60"/>
    <x v="51"/>
    <x v="72"/>
    <x v="46"/>
    <x v="69"/>
    <x v="65"/>
    <x v="74"/>
    <x v="68"/>
    <x v="67"/>
    <x v="66"/>
    <x v="70"/>
    <x v="73"/>
    <x v="24"/>
    <x v="58"/>
    <x v="42"/>
    <x v="69"/>
    <x v="13"/>
    <x v="50"/>
    <x v="63"/>
    <x v="61"/>
    <x v="65"/>
    <x v="65"/>
    <x v="53"/>
    <x v="64"/>
    <x v="74"/>
  </r>
  <r>
    <x v="2"/>
    <x v="2"/>
    <x v="1"/>
    <x v="64"/>
    <x v="62"/>
    <x v="63"/>
    <x v="64"/>
    <x v="55"/>
    <x v="46"/>
    <x v="74"/>
    <x v="61"/>
    <x v="52"/>
    <x v="73"/>
    <x v="52"/>
    <x v="64"/>
    <x v="64"/>
    <x v="75"/>
    <x v="69"/>
    <x v="61"/>
    <x v="67"/>
    <x v="63"/>
    <x v="74"/>
    <x v="24"/>
    <x v="59"/>
    <x v="55"/>
    <x v="70"/>
    <x v="50"/>
    <x v="51"/>
    <x v="64"/>
    <x v="62"/>
    <x v="63"/>
    <x v="65"/>
    <x v="47"/>
    <x v="65"/>
    <x v="75"/>
  </r>
  <r>
    <x v="0"/>
    <x v="2"/>
    <x v="2"/>
    <x v="60"/>
    <x v="58"/>
    <x v="64"/>
    <x v="65"/>
    <x v="56"/>
    <x v="70"/>
    <x v="75"/>
    <x v="62"/>
    <x v="53"/>
    <x v="74"/>
    <x v="53"/>
    <x v="70"/>
    <x v="64"/>
    <x v="76"/>
    <x v="70"/>
    <x v="68"/>
    <x v="68"/>
    <x v="71"/>
    <x v="75"/>
    <x v="25"/>
    <x v="60"/>
    <x v="56"/>
    <x v="71"/>
    <x v="32"/>
    <x v="49"/>
    <x v="65"/>
    <x v="63"/>
    <x v="66"/>
    <x v="66"/>
    <x v="54"/>
    <x v="58"/>
    <x v="76"/>
  </r>
  <r>
    <x v="1"/>
    <x v="2"/>
    <x v="2"/>
    <x v="61"/>
    <x v="63"/>
    <x v="65"/>
    <x v="66"/>
    <x v="57"/>
    <x v="71"/>
    <x v="76"/>
    <x v="63"/>
    <x v="54"/>
    <x v="75"/>
    <x v="54"/>
    <x v="71"/>
    <x v="66"/>
    <x v="77"/>
    <x v="71"/>
    <x v="54"/>
    <x v="69"/>
    <x v="72"/>
    <x v="76"/>
    <x v="25"/>
    <x v="61"/>
    <x v="36"/>
    <x v="72"/>
    <x v="51"/>
    <x v="52"/>
    <x v="53"/>
    <x v="55"/>
    <x v="67"/>
    <x v="67"/>
    <x v="49"/>
    <x v="57"/>
    <x v="77"/>
  </r>
  <r>
    <x v="2"/>
    <x v="2"/>
    <x v="2"/>
    <x v="65"/>
    <x v="51"/>
    <x v="66"/>
    <x v="65"/>
    <x v="58"/>
    <x v="72"/>
    <x v="17"/>
    <x v="64"/>
    <x v="55"/>
    <x v="55"/>
    <x v="55"/>
    <x v="72"/>
    <x v="67"/>
    <x v="78"/>
    <x v="60"/>
    <x v="69"/>
    <x v="70"/>
    <x v="73"/>
    <x v="77"/>
    <x v="25"/>
    <x v="62"/>
    <x v="57"/>
    <x v="73"/>
    <x v="21"/>
    <x v="53"/>
    <x v="66"/>
    <x v="64"/>
    <x v="68"/>
    <x v="67"/>
    <x v="55"/>
    <x v="66"/>
    <x v="78"/>
  </r>
  <r>
    <x v="0"/>
    <x v="2"/>
    <x v="3"/>
    <x v="60"/>
    <x v="60"/>
    <x v="67"/>
    <x v="67"/>
    <x v="59"/>
    <x v="73"/>
    <x v="77"/>
    <x v="65"/>
    <x v="45"/>
    <x v="76"/>
    <x v="56"/>
    <x v="73"/>
    <x v="61"/>
    <x v="68"/>
    <x v="72"/>
    <x v="70"/>
    <x v="71"/>
    <x v="74"/>
    <x v="78"/>
    <x v="26"/>
    <x v="63"/>
    <x v="58"/>
    <x v="74"/>
    <x v="52"/>
    <x v="54"/>
    <x v="67"/>
    <x v="65"/>
    <x v="69"/>
    <x v="68"/>
    <x v="56"/>
    <x v="67"/>
    <x v="79"/>
  </r>
  <r>
    <x v="1"/>
    <x v="2"/>
    <x v="3"/>
    <x v="49"/>
    <x v="64"/>
    <x v="2"/>
    <x v="68"/>
    <x v="21"/>
    <x v="74"/>
    <x v="78"/>
    <x v="66"/>
    <x v="56"/>
    <x v="72"/>
    <x v="57"/>
    <x v="74"/>
    <x v="68"/>
    <x v="79"/>
    <x v="73"/>
    <x v="60"/>
    <x v="54"/>
    <x v="54"/>
    <x v="62"/>
    <x v="26"/>
    <x v="64"/>
    <x v="47"/>
    <x v="75"/>
    <x v="51"/>
    <x v="55"/>
    <x v="68"/>
    <x v="66"/>
    <x v="70"/>
    <x v="69"/>
    <x v="50"/>
    <x v="65"/>
    <x v="80"/>
  </r>
  <r>
    <x v="2"/>
    <x v="2"/>
    <x v="3"/>
    <x v="65"/>
    <x v="45"/>
    <x v="68"/>
    <x v="69"/>
    <x v="58"/>
    <x v="75"/>
    <x v="79"/>
    <x v="67"/>
    <x v="57"/>
    <x v="77"/>
    <x v="58"/>
    <x v="75"/>
    <x v="60"/>
    <x v="80"/>
    <x v="74"/>
    <x v="71"/>
    <x v="72"/>
    <x v="75"/>
    <x v="79"/>
    <x v="26"/>
    <x v="65"/>
    <x v="59"/>
    <x v="76"/>
    <x v="46"/>
    <x v="50"/>
    <x v="69"/>
    <x v="67"/>
    <x v="71"/>
    <x v="70"/>
    <x v="57"/>
    <x v="51"/>
    <x v="81"/>
  </r>
  <r>
    <x v="0"/>
    <x v="2"/>
    <x v="4"/>
    <x v="65"/>
    <x v="65"/>
    <x v="52"/>
    <x v="70"/>
    <x v="60"/>
    <x v="76"/>
    <x v="80"/>
    <x v="68"/>
    <x v="58"/>
    <x v="78"/>
    <x v="59"/>
    <x v="76"/>
    <x v="69"/>
    <x v="81"/>
    <x v="75"/>
    <x v="72"/>
    <x v="73"/>
    <x v="76"/>
    <x v="80"/>
    <x v="27"/>
    <x v="66"/>
    <x v="60"/>
    <x v="77"/>
    <x v="53"/>
    <x v="56"/>
    <x v="70"/>
    <x v="68"/>
    <x v="72"/>
    <x v="71"/>
    <x v="58"/>
    <x v="68"/>
    <x v="82"/>
  </r>
  <r>
    <x v="1"/>
    <x v="2"/>
    <x v="4"/>
    <x v="49"/>
    <x v="66"/>
    <x v="69"/>
    <x v="69"/>
    <x v="61"/>
    <x v="77"/>
    <x v="81"/>
    <x v="69"/>
    <x v="59"/>
    <x v="79"/>
    <x v="60"/>
    <x v="77"/>
    <x v="70"/>
    <x v="82"/>
    <x v="76"/>
    <x v="73"/>
    <x v="74"/>
    <x v="62"/>
    <x v="81"/>
    <x v="27"/>
    <x v="59"/>
    <x v="61"/>
    <x v="78"/>
    <x v="27"/>
    <x v="57"/>
    <x v="71"/>
    <x v="69"/>
    <x v="73"/>
    <x v="72"/>
    <x v="59"/>
    <x v="51"/>
    <x v="83"/>
  </r>
  <r>
    <x v="2"/>
    <x v="2"/>
    <x v="4"/>
    <x v="66"/>
    <x v="67"/>
    <x v="70"/>
    <x v="71"/>
    <x v="62"/>
    <x v="78"/>
    <x v="82"/>
    <x v="70"/>
    <x v="60"/>
    <x v="80"/>
    <x v="61"/>
    <x v="76"/>
    <x v="71"/>
    <x v="83"/>
    <x v="77"/>
    <x v="66"/>
    <x v="75"/>
    <x v="77"/>
    <x v="82"/>
    <x v="27"/>
    <x v="60"/>
    <x v="62"/>
    <x v="79"/>
    <x v="42"/>
    <x v="56"/>
    <x v="62"/>
    <x v="70"/>
    <x v="74"/>
    <x v="73"/>
    <x v="60"/>
    <x v="69"/>
    <x v="84"/>
  </r>
  <r>
    <x v="0"/>
    <x v="2"/>
    <x v="5"/>
    <x v="67"/>
    <x v="68"/>
    <x v="59"/>
    <x v="72"/>
    <x v="63"/>
    <x v="79"/>
    <x v="83"/>
    <x v="71"/>
    <x v="36"/>
    <x v="81"/>
    <x v="62"/>
    <x v="78"/>
    <x v="54"/>
    <x v="84"/>
    <x v="78"/>
    <x v="74"/>
    <x v="76"/>
    <x v="78"/>
    <x v="83"/>
    <x v="28"/>
    <x v="67"/>
    <x v="63"/>
    <x v="80"/>
    <x v="54"/>
    <x v="58"/>
    <x v="72"/>
    <x v="71"/>
    <x v="73"/>
    <x v="74"/>
    <x v="61"/>
    <x v="70"/>
    <x v="85"/>
  </r>
  <r>
    <x v="1"/>
    <x v="2"/>
    <x v="5"/>
    <x v="66"/>
    <x v="69"/>
    <x v="71"/>
    <x v="71"/>
    <x v="64"/>
    <x v="80"/>
    <x v="84"/>
    <x v="72"/>
    <x v="61"/>
    <x v="82"/>
    <x v="52"/>
    <x v="79"/>
    <x v="72"/>
    <x v="85"/>
    <x v="79"/>
    <x v="75"/>
    <x v="77"/>
    <x v="57"/>
    <x v="84"/>
    <x v="28"/>
    <x v="62"/>
    <x v="64"/>
    <x v="81"/>
    <x v="55"/>
    <x v="59"/>
    <x v="73"/>
    <x v="72"/>
    <x v="75"/>
    <x v="68"/>
    <x v="56"/>
    <x v="71"/>
    <x v="86"/>
  </r>
  <r>
    <x v="2"/>
    <x v="2"/>
    <x v="5"/>
    <x v="68"/>
    <x v="70"/>
    <x v="72"/>
    <x v="73"/>
    <x v="65"/>
    <x v="81"/>
    <x v="85"/>
    <x v="73"/>
    <x v="62"/>
    <x v="83"/>
    <x v="63"/>
    <x v="80"/>
    <x v="73"/>
    <x v="86"/>
    <x v="80"/>
    <x v="70"/>
    <x v="78"/>
    <x v="79"/>
    <x v="85"/>
    <x v="28"/>
    <x v="68"/>
    <x v="65"/>
    <x v="82"/>
    <x v="56"/>
    <x v="60"/>
    <x v="74"/>
    <x v="73"/>
    <x v="76"/>
    <x v="75"/>
    <x v="62"/>
    <x v="72"/>
    <x v="87"/>
  </r>
  <r>
    <x v="0"/>
    <x v="2"/>
    <x v="6"/>
    <x v="61"/>
    <x v="71"/>
    <x v="73"/>
    <x v="72"/>
    <x v="66"/>
    <x v="82"/>
    <x v="86"/>
    <x v="74"/>
    <x v="62"/>
    <x v="80"/>
    <x v="64"/>
    <x v="81"/>
    <x v="74"/>
    <x v="87"/>
    <x v="81"/>
    <x v="76"/>
    <x v="79"/>
    <x v="80"/>
    <x v="86"/>
    <x v="29"/>
    <x v="69"/>
    <x v="66"/>
    <x v="83"/>
    <x v="57"/>
    <x v="61"/>
    <x v="75"/>
    <x v="74"/>
    <x v="77"/>
    <x v="76"/>
    <x v="63"/>
    <x v="73"/>
    <x v="88"/>
  </r>
  <r>
    <x v="1"/>
    <x v="2"/>
    <x v="6"/>
    <x v="58"/>
    <x v="72"/>
    <x v="62"/>
    <x v="70"/>
    <x v="67"/>
    <x v="81"/>
    <x v="87"/>
    <x v="75"/>
    <x v="63"/>
    <x v="84"/>
    <x v="65"/>
    <x v="82"/>
    <x v="75"/>
    <x v="88"/>
    <x v="82"/>
    <x v="77"/>
    <x v="80"/>
    <x v="81"/>
    <x v="87"/>
    <x v="29"/>
    <x v="70"/>
    <x v="38"/>
    <x v="84"/>
    <x v="35"/>
    <x v="50"/>
    <x v="76"/>
    <x v="64"/>
    <x v="78"/>
    <x v="77"/>
    <x v="64"/>
    <x v="68"/>
    <x v="89"/>
  </r>
  <r>
    <x v="2"/>
    <x v="2"/>
    <x v="6"/>
    <x v="64"/>
    <x v="73"/>
    <x v="41"/>
    <x v="74"/>
    <x v="68"/>
    <x v="83"/>
    <x v="88"/>
    <x v="76"/>
    <x v="64"/>
    <x v="85"/>
    <x v="66"/>
    <x v="83"/>
    <x v="76"/>
    <x v="89"/>
    <x v="83"/>
    <x v="78"/>
    <x v="81"/>
    <x v="82"/>
    <x v="88"/>
    <x v="29"/>
    <x v="71"/>
    <x v="67"/>
    <x v="74"/>
    <x v="58"/>
    <x v="56"/>
    <x v="77"/>
    <x v="73"/>
    <x v="79"/>
    <x v="78"/>
    <x v="65"/>
    <x v="74"/>
    <x v="90"/>
  </r>
  <r>
    <x v="0"/>
    <x v="2"/>
    <x v="7"/>
    <x v="69"/>
    <x v="74"/>
    <x v="74"/>
    <x v="75"/>
    <x v="69"/>
    <x v="73"/>
    <x v="89"/>
    <x v="77"/>
    <x v="65"/>
    <x v="86"/>
    <x v="67"/>
    <x v="84"/>
    <x v="77"/>
    <x v="90"/>
    <x v="73"/>
    <x v="79"/>
    <x v="82"/>
    <x v="83"/>
    <x v="89"/>
    <x v="30"/>
    <x v="72"/>
    <x v="68"/>
    <x v="85"/>
    <x v="59"/>
    <x v="59"/>
    <x v="78"/>
    <x v="75"/>
    <x v="80"/>
    <x v="79"/>
    <x v="66"/>
    <x v="75"/>
    <x v="91"/>
  </r>
  <r>
    <x v="1"/>
    <x v="2"/>
    <x v="7"/>
    <x v="46"/>
    <x v="75"/>
    <x v="42"/>
    <x v="76"/>
    <x v="28"/>
    <x v="84"/>
    <x v="90"/>
    <x v="78"/>
    <x v="66"/>
    <x v="87"/>
    <x v="51"/>
    <x v="81"/>
    <x v="78"/>
    <x v="91"/>
    <x v="84"/>
    <x v="80"/>
    <x v="83"/>
    <x v="60"/>
    <x v="90"/>
    <x v="30"/>
    <x v="73"/>
    <x v="38"/>
    <x v="86"/>
    <x v="21"/>
    <x v="62"/>
    <x v="60"/>
    <x v="76"/>
    <x v="81"/>
    <x v="78"/>
    <x v="67"/>
    <x v="76"/>
    <x v="92"/>
  </r>
  <r>
    <x v="2"/>
    <x v="2"/>
    <x v="7"/>
    <x v="54"/>
    <x v="76"/>
    <x v="75"/>
    <x v="77"/>
    <x v="70"/>
    <x v="80"/>
    <x v="91"/>
    <x v="79"/>
    <x v="67"/>
    <x v="88"/>
    <x v="68"/>
    <x v="85"/>
    <x v="79"/>
    <x v="92"/>
    <x v="85"/>
    <x v="81"/>
    <x v="68"/>
    <x v="84"/>
    <x v="91"/>
    <x v="30"/>
    <x v="74"/>
    <x v="56"/>
    <x v="87"/>
    <x v="55"/>
    <x v="56"/>
    <x v="70"/>
    <x v="68"/>
    <x v="82"/>
    <x v="80"/>
    <x v="65"/>
    <x v="77"/>
    <x v="93"/>
  </r>
  <r>
    <x v="0"/>
    <x v="2"/>
    <x v="8"/>
    <x v="70"/>
    <x v="77"/>
    <x v="39"/>
    <x v="78"/>
    <x v="71"/>
    <x v="80"/>
    <x v="92"/>
    <x v="80"/>
    <x v="68"/>
    <x v="66"/>
    <x v="69"/>
    <x v="86"/>
    <x v="80"/>
    <x v="93"/>
    <x v="86"/>
    <x v="82"/>
    <x v="84"/>
    <x v="85"/>
    <x v="92"/>
    <x v="31"/>
    <x v="75"/>
    <x v="69"/>
    <x v="88"/>
    <x v="60"/>
    <x v="63"/>
    <x v="79"/>
    <x v="77"/>
    <x v="83"/>
    <x v="81"/>
    <x v="68"/>
    <x v="78"/>
    <x v="94"/>
  </r>
  <r>
    <x v="1"/>
    <x v="2"/>
    <x v="8"/>
    <x v="62"/>
    <x v="78"/>
    <x v="76"/>
    <x v="74"/>
    <x v="72"/>
    <x v="85"/>
    <x v="93"/>
    <x v="81"/>
    <x v="69"/>
    <x v="89"/>
    <x v="70"/>
    <x v="87"/>
    <x v="81"/>
    <x v="94"/>
    <x v="87"/>
    <x v="83"/>
    <x v="62"/>
    <x v="86"/>
    <x v="93"/>
    <x v="31"/>
    <x v="76"/>
    <x v="64"/>
    <x v="89"/>
    <x v="61"/>
    <x v="64"/>
    <x v="69"/>
    <x v="70"/>
    <x v="84"/>
    <x v="82"/>
    <x v="67"/>
    <x v="79"/>
    <x v="95"/>
  </r>
  <r>
    <x v="2"/>
    <x v="2"/>
    <x v="8"/>
    <x v="57"/>
    <x v="68"/>
    <x v="29"/>
    <x v="79"/>
    <x v="59"/>
    <x v="86"/>
    <x v="94"/>
    <x v="82"/>
    <x v="70"/>
    <x v="90"/>
    <x v="71"/>
    <x v="84"/>
    <x v="82"/>
    <x v="95"/>
    <x v="88"/>
    <x v="84"/>
    <x v="85"/>
    <x v="87"/>
    <x v="94"/>
    <x v="31"/>
    <x v="77"/>
    <x v="70"/>
    <x v="90"/>
    <x v="29"/>
    <x v="65"/>
    <x v="80"/>
    <x v="78"/>
    <x v="85"/>
    <x v="83"/>
    <x v="69"/>
    <x v="80"/>
    <x v="96"/>
  </r>
  <r>
    <x v="0"/>
    <x v="2"/>
    <x v="9"/>
    <x v="71"/>
    <x v="68"/>
    <x v="77"/>
    <x v="80"/>
    <x v="73"/>
    <x v="79"/>
    <x v="53"/>
    <x v="83"/>
    <x v="71"/>
    <x v="69"/>
    <x v="72"/>
    <x v="88"/>
    <x v="83"/>
    <x v="96"/>
    <x v="89"/>
    <x v="85"/>
    <x v="86"/>
    <x v="88"/>
    <x v="95"/>
    <x v="32"/>
    <x v="78"/>
    <x v="71"/>
    <x v="91"/>
    <x v="60"/>
    <x v="66"/>
    <x v="81"/>
    <x v="79"/>
    <x v="82"/>
    <x v="84"/>
    <x v="70"/>
    <x v="81"/>
    <x v="97"/>
  </r>
  <r>
    <x v="1"/>
    <x v="2"/>
    <x v="9"/>
    <x v="66"/>
    <x v="79"/>
    <x v="44"/>
    <x v="77"/>
    <x v="31"/>
    <x v="87"/>
    <x v="95"/>
    <x v="84"/>
    <x v="72"/>
    <x v="91"/>
    <x v="56"/>
    <x v="89"/>
    <x v="84"/>
    <x v="97"/>
    <x v="90"/>
    <x v="63"/>
    <x v="51"/>
    <x v="89"/>
    <x v="96"/>
    <x v="32"/>
    <x v="79"/>
    <x v="61"/>
    <x v="92"/>
    <x v="19"/>
    <x v="67"/>
    <x v="62"/>
    <x v="80"/>
    <x v="84"/>
    <x v="85"/>
    <x v="71"/>
    <x v="82"/>
    <x v="98"/>
  </r>
  <r>
    <x v="2"/>
    <x v="2"/>
    <x v="9"/>
    <x v="72"/>
    <x v="80"/>
    <x v="64"/>
    <x v="81"/>
    <x v="74"/>
    <x v="88"/>
    <x v="96"/>
    <x v="85"/>
    <x v="73"/>
    <x v="92"/>
    <x v="62"/>
    <x v="90"/>
    <x v="85"/>
    <x v="98"/>
    <x v="91"/>
    <x v="86"/>
    <x v="87"/>
    <x v="90"/>
    <x v="97"/>
    <x v="32"/>
    <x v="69"/>
    <x v="72"/>
    <x v="93"/>
    <x v="33"/>
    <x v="68"/>
    <x v="72"/>
    <x v="81"/>
    <x v="86"/>
    <x v="86"/>
    <x v="61"/>
    <x v="75"/>
    <x v="99"/>
  </r>
  <r>
    <x v="0"/>
    <x v="2"/>
    <x v="11"/>
    <x v="73"/>
    <x v="81"/>
    <x v="78"/>
    <x v="82"/>
    <x v="75"/>
    <x v="89"/>
    <x v="97"/>
    <x v="86"/>
    <x v="74"/>
    <x v="93"/>
    <x v="73"/>
    <x v="91"/>
    <x v="86"/>
    <x v="99"/>
    <x v="92"/>
    <x v="87"/>
    <x v="88"/>
    <x v="91"/>
    <x v="98"/>
    <x v="33"/>
    <x v="80"/>
    <x v="73"/>
    <x v="94"/>
    <x v="62"/>
    <x v="66"/>
    <x v="82"/>
    <x v="82"/>
    <x v="87"/>
    <x v="87"/>
    <x v="72"/>
    <x v="83"/>
    <x v="100"/>
  </r>
  <r>
    <x v="1"/>
    <x v="2"/>
    <x v="11"/>
    <x v="61"/>
    <x v="80"/>
    <x v="40"/>
    <x v="83"/>
    <x v="76"/>
    <x v="90"/>
    <x v="98"/>
    <x v="87"/>
    <x v="59"/>
    <x v="94"/>
    <x v="63"/>
    <x v="92"/>
    <x v="87"/>
    <x v="100"/>
    <x v="93"/>
    <x v="88"/>
    <x v="64"/>
    <x v="92"/>
    <x v="99"/>
    <x v="33"/>
    <x v="81"/>
    <x v="64"/>
    <x v="79"/>
    <x v="19"/>
    <x v="69"/>
    <x v="83"/>
    <x v="83"/>
    <x v="88"/>
    <x v="74"/>
    <x v="73"/>
    <x v="84"/>
    <x v="101"/>
  </r>
  <r>
    <x v="2"/>
    <x v="2"/>
    <x v="11"/>
    <x v="74"/>
    <x v="82"/>
    <x v="72"/>
    <x v="78"/>
    <x v="77"/>
    <x v="91"/>
    <x v="99"/>
    <x v="88"/>
    <x v="75"/>
    <x v="95"/>
    <x v="74"/>
    <x v="93"/>
    <x v="88"/>
    <x v="101"/>
    <x v="94"/>
    <x v="89"/>
    <x v="89"/>
    <x v="93"/>
    <x v="100"/>
    <x v="33"/>
    <x v="82"/>
    <x v="74"/>
    <x v="95"/>
    <x v="35"/>
    <x v="70"/>
    <x v="84"/>
    <x v="84"/>
    <x v="89"/>
    <x v="88"/>
    <x v="63"/>
    <x v="85"/>
    <x v="102"/>
  </r>
  <r>
    <x v="0"/>
    <x v="2"/>
    <x v="12"/>
    <x v="75"/>
    <x v="74"/>
    <x v="79"/>
    <x v="84"/>
    <x v="78"/>
    <x v="92"/>
    <x v="100"/>
    <x v="89"/>
    <x v="33"/>
    <x v="96"/>
    <x v="75"/>
    <x v="94"/>
    <x v="89"/>
    <x v="102"/>
    <x v="82"/>
    <x v="90"/>
    <x v="90"/>
    <x v="94"/>
    <x v="101"/>
    <x v="32"/>
    <x v="83"/>
    <x v="75"/>
    <x v="94"/>
    <x v="62"/>
    <x v="71"/>
    <x v="85"/>
    <x v="85"/>
    <x v="90"/>
    <x v="89"/>
    <x v="74"/>
    <x v="86"/>
    <x v="103"/>
  </r>
  <r>
    <x v="1"/>
    <x v="2"/>
    <x v="12"/>
    <x v="63"/>
    <x v="75"/>
    <x v="80"/>
    <x v="83"/>
    <x v="76"/>
    <x v="93"/>
    <x v="101"/>
    <x v="90"/>
    <x v="76"/>
    <x v="97"/>
    <x v="59"/>
    <x v="91"/>
    <x v="81"/>
    <x v="103"/>
    <x v="95"/>
    <x v="66"/>
    <x v="91"/>
    <x v="95"/>
    <x v="102"/>
    <x v="32"/>
    <x v="81"/>
    <x v="76"/>
    <x v="71"/>
    <x v="19"/>
    <x v="72"/>
    <x v="67"/>
    <x v="86"/>
    <x v="88"/>
    <x v="90"/>
    <x v="75"/>
    <x v="87"/>
    <x v="104"/>
  </r>
  <r>
    <x v="2"/>
    <x v="2"/>
    <x v="12"/>
    <x v="76"/>
    <x v="76"/>
    <x v="81"/>
    <x v="80"/>
    <x v="79"/>
    <x v="94"/>
    <x v="84"/>
    <x v="91"/>
    <x v="74"/>
    <x v="98"/>
    <x v="76"/>
    <x v="95"/>
    <x v="89"/>
    <x v="104"/>
    <x v="96"/>
    <x v="91"/>
    <x v="92"/>
    <x v="83"/>
    <x v="103"/>
    <x v="32"/>
    <x v="84"/>
    <x v="77"/>
    <x v="96"/>
    <x v="35"/>
    <x v="63"/>
    <x v="79"/>
    <x v="77"/>
    <x v="81"/>
    <x v="81"/>
    <x v="76"/>
    <x v="75"/>
    <x v="105"/>
  </r>
  <r>
    <x v="0"/>
    <x v="3"/>
    <x v="0"/>
    <x v="77"/>
    <x v="83"/>
    <x v="82"/>
    <x v="85"/>
    <x v="80"/>
    <x v="92"/>
    <x v="102"/>
    <x v="92"/>
    <x v="77"/>
    <x v="99"/>
    <x v="77"/>
    <x v="96"/>
    <x v="89"/>
    <x v="105"/>
    <x v="94"/>
    <x v="92"/>
    <x v="93"/>
    <x v="96"/>
    <x v="104"/>
    <x v="34"/>
    <x v="85"/>
    <x v="78"/>
    <x v="97"/>
    <x v="59"/>
    <x v="73"/>
    <x v="86"/>
    <x v="87"/>
    <x v="81"/>
    <x v="91"/>
    <x v="77"/>
    <x v="88"/>
    <x v="106"/>
  </r>
  <r>
    <x v="1"/>
    <x v="3"/>
    <x v="0"/>
    <x v="69"/>
    <x v="84"/>
    <x v="83"/>
    <x v="78"/>
    <x v="38"/>
    <x v="95"/>
    <x v="103"/>
    <x v="93"/>
    <x v="78"/>
    <x v="100"/>
    <x v="78"/>
    <x v="95"/>
    <x v="82"/>
    <x v="106"/>
    <x v="97"/>
    <x v="93"/>
    <x v="94"/>
    <x v="97"/>
    <x v="105"/>
    <x v="34"/>
    <x v="86"/>
    <x v="79"/>
    <x v="98"/>
    <x v="63"/>
    <x v="74"/>
    <x v="87"/>
    <x v="88"/>
    <x v="91"/>
    <x v="79"/>
    <x v="78"/>
    <x v="82"/>
    <x v="107"/>
  </r>
  <r>
    <x v="2"/>
    <x v="3"/>
    <x v="0"/>
    <x v="73"/>
    <x v="85"/>
    <x v="84"/>
    <x v="86"/>
    <x v="81"/>
    <x v="62"/>
    <x v="104"/>
    <x v="94"/>
    <x v="79"/>
    <x v="101"/>
    <x v="79"/>
    <x v="97"/>
    <x v="90"/>
    <x v="107"/>
    <x v="98"/>
    <x v="94"/>
    <x v="76"/>
    <x v="98"/>
    <x v="106"/>
    <x v="34"/>
    <x v="87"/>
    <x v="80"/>
    <x v="99"/>
    <x v="30"/>
    <x v="75"/>
    <x v="81"/>
    <x v="89"/>
    <x v="89"/>
    <x v="92"/>
    <x v="79"/>
    <x v="89"/>
    <x v="108"/>
  </r>
  <r>
    <x v="0"/>
    <x v="3"/>
    <x v="1"/>
    <x v="78"/>
    <x v="86"/>
    <x v="85"/>
    <x v="87"/>
    <x v="82"/>
    <x v="65"/>
    <x v="82"/>
    <x v="95"/>
    <x v="80"/>
    <x v="102"/>
    <x v="80"/>
    <x v="98"/>
    <x v="79"/>
    <x v="108"/>
    <x v="99"/>
    <x v="95"/>
    <x v="95"/>
    <x v="99"/>
    <x v="107"/>
    <x v="35"/>
    <x v="88"/>
    <x v="81"/>
    <x v="100"/>
    <x v="64"/>
    <x v="76"/>
    <x v="88"/>
    <x v="90"/>
    <x v="92"/>
    <x v="93"/>
    <x v="80"/>
    <x v="86"/>
    <x v="109"/>
  </r>
  <r>
    <x v="1"/>
    <x v="3"/>
    <x v="1"/>
    <x v="52"/>
    <x v="87"/>
    <x v="86"/>
    <x v="88"/>
    <x v="83"/>
    <x v="96"/>
    <x v="17"/>
    <x v="96"/>
    <x v="81"/>
    <x v="103"/>
    <x v="81"/>
    <x v="99"/>
    <x v="91"/>
    <x v="109"/>
    <x v="100"/>
    <x v="96"/>
    <x v="67"/>
    <x v="100"/>
    <x v="108"/>
    <x v="35"/>
    <x v="89"/>
    <x v="76"/>
    <x v="101"/>
    <x v="61"/>
    <x v="77"/>
    <x v="89"/>
    <x v="91"/>
    <x v="89"/>
    <x v="94"/>
    <x v="65"/>
    <x v="90"/>
    <x v="110"/>
  </r>
  <r>
    <x v="2"/>
    <x v="3"/>
    <x v="1"/>
    <x v="79"/>
    <x v="88"/>
    <x v="87"/>
    <x v="85"/>
    <x v="84"/>
    <x v="97"/>
    <x v="105"/>
    <x v="97"/>
    <x v="82"/>
    <x v="104"/>
    <x v="82"/>
    <x v="100"/>
    <x v="92"/>
    <x v="110"/>
    <x v="101"/>
    <x v="97"/>
    <x v="96"/>
    <x v="101"/>
    <x v="109"/>
    <x v="35"/>
    <x v="90"/>
    <x v="82"/>
    <x v="102"/>
    <x v="33"/>
    <x v="78"/>
    <x v="90"/>
    <x v="92"/>
    <x v="88"/>
    <x v="95"/>
    <x v="81"/>
    <x v="91"/>
    <x v="111"/>
  </r>
  <r>
    <x v="0"/>
    <x v="3"/>
    <x v="2"/>
    <x v="80"/>
    <x v="69"/>
    <x v="88"/>
    <x v="89"/>
    <x v="78"/>
    <x v="98"/>
    <x v="106"/>
    <x v="98"/>
    <x v="83"/>
    <x v="105"/>
    <x v="83"/>
    <x v="101"/>
    <x v="93"/>
    <x v="111"/>
    <x v="102"/>
    <x v="98"/>
    <x v="97"/>
    <x v="102"/>
    <x v="110"/>
    <x v="36"/>
    <x v="91"/>
    <x v="83"/>
    <x v="103"/>
    <x v="59"/>
    <x v="79"/>
    <x v="91"/>
    <x v="93"/>
    <x v="93"/>
    <x v="96"/>
    <x v="82"/>
    <x v="92"/>
    <x v="112"/>
  </r>
  <r>
    <x v="1"/>
    <x v="3"/>
    <x v="2"/>
    <x v="52"/>
    <x v="89"/>
    <x v="89"/>
    <x v="90"/>
    <x v="44"/>
    <x v="99"/>
    <x v="107"/>
    <x v="99"/>
    <x v="30"/>
    <x v="106"/>
    <x v="71"/>
    <x v="102"/>
    <x v="53"/>
    <x v="112"/>
    <x v="103"/>
    <x v="70"/>
    <x v="55"/>
    <x v="71"/>
    <x v="111"/>
    <x v="36"/>
    <x v="92"/>
    <x v="84"/>
    <x v="104"/>
    <x v="65"/>
    <x v="80"/>
    <x v="92"/>
    <x v="82"/>
    <x v="91"/>
    <x v="97"/>
    <x v="83"/>
    <x v="90"/>
    <x v="113"/>
  </r>
  <r>
    <x v="2"/>
    <x v="3"/>
    <x v="2"/>
    <x v="81"/>
    <x v="87"/>
    <x v="90"/>
    <x v="91"/>
    <x v="85"/>
    <x v="67"/>
    <x v="108"/>
    <x v="100"/>
    <x v="84"/>
    <x v="107"/>
    <x v="73"/>
    <x v="103"/>
    <x v="77"/>
    <x v="113"/>
    <x v="104"/>
    <x v="99"/>
    <x v="98"/>
    <x v="103"/>
    <x v="112"/>
    <x v="36"/>
    <x v="78"/>
    <x v="85"/>
    <x v="105"/>
    <x v="49"/>
    <x v="81"/>
    <x v="93"/>
    <x v="94"/>
    <x v="94"/>
    <x v="98"/>
    <x v="84"/>
    <x v="91"/>
    <x v="114"/>
  </r>
  <r>
    <x v="0"/>
    <x v="3"/>
    <x v="3"/>
    <x v="82"/>
    <x v="90"/>
    <x v="91"/>
    <x v="92"/>
    <x v="86"/>
    <x v="100"/>
    <x v="109"/>
    <x v="101"/>
    <x v="5"/>
    <x v="108"/>
    <x v="84"/>
    <x v="104"/>
    <x v="83"/>
    <x v="114"/>
    <x v="105"/>
    <x v="100"/>
    <x v="99"/>
    <x v="104"/>
    <x v="113"/>
    <x v="37"/>
    <x v="93"/>
    <x v="83"/>
    <x v="106"/>
    <x v="66"/>
    <x v="82"/>
    <x v="94"/>
    <x v="95"/>
    <x v="95"/>
    <x v="99"/>
    <x v="85"/>
    <x v="93"/>
    <x v="115"/>
  </r>
  <r>
    <x v="1"/>
    <x v="3"/>
    <x v="3"/>
    <x v="83"/>
    <x v="91"/>
    <x v="55"/>
    <x v="91"/>
    <x v="26"/>
    <x v="53"/>
    <x v="110"/>
    <x v="102"/>
    <x v="85"/>
    <x v="109"/>
    <x v="62"/>
    <x v="96"/>
    <x v="83"/>
    <x v="115"/>
    <x v="106"/>
    <x v="101"/>
    <x v="57"/>
    <x v="105"/>
    <x v="72"/>
    <x v="37"/>
    <x v="67"/>
    <x v="86"/>
    <x v="77"/>
    <x v="67"/>
    <x v="83"/>
    <x v="95"/>
    <x v="96"/>
    <x v="96"/>
    <x v="100"/>
    <x v="66"/>
    <x v="94"/>
    <x v="116"/>
  </r>
  <r>
    <x v="2"/>
    <x v="3"/>
    <x v="3"/>
    <x v="84"/>
    <x v="92"/>
    <x v="73"/>
    <x v="93"/>
    <x v="84"/>
    <x v="101"/>
    <x v="111"/>
    <x v="103"/>
    <x v="86"/>
    <x v="89"/>
    <x v="85"/>
    <x v="105"/>
    <x v="83"/>
    <x v="116"/>
    <x v="107"/>
    <x v="102"/>
    <x v="100"/>
    <x v="106"/>
    <x v="114"/>
    <x v="37"/>
    <x v="94"/>
    <x v="87"/>
    <x v="107"/>
    <x v="68"/>
    <x v="84"/>
    <x v="96"/>
    <x v="97"/>
    <x v="97"/>
    <x v="101"/>
    <x v="86"/>
    <x v="95"/>
    <x v="117"/>
  </r>
  <r>
    <x v="0"/>
    <x v="3"/>
    <x v="4"/>
    <x v="85"/>
    <x v="93"/>
    <x v="92"/>
    <x v="94"/>
    <x v="86"/>
    <x v="100"/>
    <x v="112"/>
    <x v="104"/>
    <x v="87"/>
    <x v="110"/>
    <x v="86"/>
    <x v="106"/>
    <x v="94"/>
    <x v="117"/>
    <x v="108"/>
    <x v="103"/>
    <x v="101"/>
    <x v="107"/>
    <x v="115"/>
    <x v="38"/>
    <x v="95"/>
    <x v="88"/>
    <x v="108"/>
    <x v="69"/>
    <x v="85"/>
    <x v="97"/>
    <x v="98"/>
    <x v="98"/>
    <x v="102"/>
    <x v="87"/>
    <x v="96"/>
    <x v="118"/>
  </r>
  <r>
    <x v="1"/>
    <x v="3"/>
    <x v="4"/>
    <x v="72"/>
    <x v="94"/>
    <x v="93"/>
    <x v="95"/>
    <x v="87"/>
    <x v="102"/>
    <x v="113"/>
    <x v="105"/>
    <x v="88"/>
    <x v="111"/>
    <x v="67"/>
    <x v="103"/>
    <x v="95"/>
    <x v="118"/>
    <x v="109"/>
    <x v="81"/>
    <x v="102"/>
    <x v="108"/>
    <x v="85"/>
    <x v="38"/>
    <x v="96"/>
    <x v="89"/>
    <x v="109"/>
    <x v="28"/>
    <x v="86"/>
    <x v="98"/>
    <x v="99"/>
    <x v="99"/>
    <x v="92"/>
    <x v="88"/>
    <x v="85"/>
    <x v="119"/>
  </r>
  <r>
    <x v="2"/>
    <x v="3"/>
    <x v="4"/>
    <x v="77"/>
    <x v="95"/>
    <x v="94"/>
    <x v="96"/>
    <x v="88"/>
    <x v="103"/>
    <x v="88"/>
    <x v="106"/>
    <x v="89"/>
    <x v="112"/>
    <x v="87"/>
    <x v="104"/>
    <x v="96"/>
    <x v="119"/>
    <x v="110"/>
    <x v="104"/>
    <x v="84"/>
    <x v="109"/>
    <x v="116"/>
    <x v="38"/>
    <x v="83"/>
    <x v="80"/>
    <x v="110"/>
    <x v="41"/>
    <x v="87"/>
    <x v="86"/>
    <x v="100"/>
    <x v="100"/>
    <x v="103"/>
    <x v="89"/>
    <x v="97"/>
    <x v="120"/>
  </r>
  <r>
    <x v="0"/>
    <x v="3"/>
    <x v="5"/>
    <x v="86"/>
    <x v="96"/>
    <x v="60"/>
    <x v="97"/>
    <x v="89"/>
    <x v="104"/>
    <x v="114"/>
    <x v="107"/>
    <x v="90"/>
    <x v="113"/>
    <x v="88"/>
    <x v="107"/>
    <x v="97"/>
    <x v="120"/>
    <x v="111"/>
    <x v="105"/>
    <x v="103"/>
    <x v="110"/>
    <x v="117"/>
    <x v="39"/>
    <x v="97"/>
    <x v="90"/>
    <x v="111"/>
    <x v="70"/>
    <x v="88"/>
    <x v="99"/>
    <x v="101"/>
    <x v="101"/>
    <x v="104"/>
    <x v="90"/>
    <x v="98"/>
    <x v="121"/>
  </r>
  <r>
    <x v="1"/>
    <x v="3"/>
    <x v="5"/>
    <x v="87"/>
    <x v="97"/>
    <x v="95"/>
    <x v="98"/>
    <x v="49"/>
    <x v="105"/>
    <x v="115"/>
    <x v="108"/>
    <x v="91"/>
    <x v="114"/>
    <x v="89"/>
    <x v="108"/>
    <x v="98"/>
    <x v="121"/>
    <x v="112"/>
    <x v="106"/>
    <x v="104"/>
    <x v="84"/>
    <x v="118"/>
    <x v="39"/>
    <x v="96"/>
    <x v="49"/>
    <x v="109"/>
    <x v="71"/>
    <x v="89"/>
    <x v="100"/>
    <x v="102"/>
    <x v="102"/>
    <x v="105"/>
    <x v="72"/>
    <x v="88"/>
    <x v="122"/>
  </r>
  <r>
    <x v="2"/>
    <x v="3"/>
    <x v="5"/>
    <x v="88"/>
    <x v="98"/>
    <x v="96"/>
    <x v="99"/>
    <x v="81"/>
    <x v="106"/>
    <x v="116"/>
    <x v="109"/>
    <x v="92"/>
    <x v="115"/>
    <x v="90"/>
    <x v="109"/>
    <x v="99"/>
    <x v="122"/>
    <x v="113"/>
    <x v="107"/>
    <x v="105"/>
    <x v="111"/>
    <x v="119"/>
    <x v="39"/>
    <x v="98"/>
    <x v="91"/>
    <x v="112"/>
    <x v="54"/>
    <x v="90"/>
    <x v="101"/>
    <x v="103"/>
    <x v="103"/>
    <x v="106"/>
    <x v="91"/>
    <x v="99"/>
    <x v="123"/>
  </r>
  <r>
    <x v="0"/>
    <x v="3"/>
    <x v="6"/>
    <x v="89"/>
    <x v="99"/>
    <x v="97"/>
    <x v="100"/>
    <x v="90"/>
    <x v="107"/>
    <x v="117"/>
    <x v="110"/>
    <x v="93"/>
    <x v="116"/>
    <x v="91"/>
    <x v="110"/>
    <x v="100"/>
    <x v="123"/>
    <x v="114"/>
    <x v="108"/>
    <x v="106"/>
    <x v="112"/>
    <x v="120"/>
    <x v="40"/>
    <x v="99"/>
    <x v="92"/>
    <x v="113"/>
    <x v="72"/>
    <x v="91"/>
    <x v="102"/>
    <x v="104"/>
    <x v="104"/>
    <x v="107"/>
    <x v="92"/>
    <x v="100"/>
    <x v="124"/>
  </r>
  <r>
    <x v="1"/>
    <x v="3"/>
    <x v="6"/>
    <x v="77"/>
    <x v="100"/>
    <x v="98"/>
    <x v="101"/>
    <x v="52"/>
    <x v="108"/>
    <x v="118"/>
    <x v="111"/>
    <x v="94"/>
    <x v="117"/>
    <x v="74"/>
    <x v="111"/>
    <x v="101"/>
    <x v="124"/>
    <x v="115"/>
    <x v="84"/>
    <x v="104"/>
    <x v="113"/>
    <x v="121"/>
    <x v="40"/>
    <x v="100"/>
    <x v="49"/>
    <x v="114"/>
    <x v="55"/>
    <x v="92"/>
    <x v="84"/>
    <x v="105"/>
    <x v="104"/>
    <x v="95"/>
    <x v="93"/>
    <x v="93"/>
    <x v="125"/>
  </r>
  <r>
    <x v="2"/>
    <x v="3"/>
    <x v="6"/>
    <x v="90"/>
    <x v="101"/>
    <x v="99"/>
    <x v="102"/>
    <x v="91"/>
    <x v="109"/>
    <x v="119"/>
    <x v="112"/>
    <x v="95"/>
    <x v="118"/>
    <x v="92"/>
    <x v="112"/>
    <x v="102"/>
    <x v="125"/>
    <x v="116"/>
    <x v="109"/>
    <x v="107"/>
    <x v="114"/>
    <x v="122"/>
    <x v="40"/>
    <x v="101"/>
    <x v="93"/>
    <x v="115"/>
    <x v="64"/>
    <x v="93"/>
    <x v="103"/>
    <x v="106"/>
    <x v="104"/>
    <x v="108"/>
    <x v="94"/>
    <x v="101"/>
    <x v="126"/>
  </r>
  <r>
    <x v="0"/>
    <x v="3"/>
    <x v="7"/>
    <x v="91"/>
    <x v="102"/>
    <x v="86"/>
    <x v="103"/>
    <x v="92"/>
    <x v="110"/>
    <x v="120"/>
    <x v="113"/>
    <x v="96"/>
    <x v="119"/>
    <x v="93"/>
    <x v="113"/>
    <x v="103"/>
    <x v="126"/>
    <x v="117"/>
    <x v="110"/>
    <x v="108"/>
    <x v="115"/>
    <x v="123"/>
    <x v="41"/>
    <x v="102"/>
    <x v="94"/>
    <x v="116"/>
    <x v="73"/>
    <x v="94"/>
    <x v="104"/>
    <x v="107"/>
    <x v="105"/>
    <x v="109"/>
    <x v="95"/>
    <x v="102"/>
    <x v="127"/>
  </r>
  <r>
    <x v="1"/>
    <x v="3"/>
    <x v="7"/>
    <x v="85"/>
    <x v="103"/>
    <x v="100"/>
    <x v="104"/>
    <x v="56"/>
    <x v="111"/>
    <x v="121"/>
    <x v="114"/>
    <x v="97"/>
    <x v="120"/>
    <x v="69"/>
    <x v="109"/>
    <x v="100"/>
    <x v="127"/>
    <x v="118"/>
    <x v="111"/>
    <x v="109"/>
    <x v="116"/>
    <x v="124"/>
    <x v="41"/>
    <x v="103"/>
    <x v="47"/>
    <x v="83"/>
    <x v="20"/>
    <x v="91"/>
    <x v="105"/>
    <x v="108"/>
    <x v="106"/>
    <x v="98"/>
    <x v="93"/>
    <x v="103"/>
    <x v="128"/>
  </r>
  <r>
    <x v="2"/>
    <x v="3"/>
    <x v="7"/>
    <x v="89"/>
    <x v="91"/>
    <x v="101"/>
    <x v="105"/>
    <x v="93"/>
    <x v="100"/>
    <x v="122"/>
    <x v="115"/>
    <x v="98"/>
    <x v="121"/>
    <x v="94"/>
    <x v="114"/>
    <x v="104"/>
    <x v="128"/>
    <x v="119"/>
    <x v="112"/>
    <x v="88"/>
    <x v="117"/>
    <x v="125"/>
    <x v="41"/>
    <x v="104"/>
    <x v="95"/>
    <x v="117"/>
    <x v="39"/>
    <x v="95"/>
    <x v="91"/>
    <x v="109"/>
    <x v="107"/>
    <x v="110"/>
    <x v="96"/>
    <x v="101"/>
    <x v="129"/>
  </r>
  <r>
    <x v="0"/>
    <x v="3"/>
    <x v="8"/>
    <x v="92"/>
    <x v="104"/>
    <x v="102"/>
    <x v="106"/>
    <x v="94"/>
    <x v="112"/>
    <x v="123"/>
    <x v="116"/>
    <x v="99"/>
    <x v="91"/>
    <x v="95"/>
    <x v="115"/>
    <x v="105"/>
    <x v="129"/>
    <x v="120"/>
    <x v="113"/>
    <x v="110"/>
    <x v="118"/>
    <x v="126"/>
    <x v="42"/>
    <x v="105"/>
    <x v="96"/>
    <x v="118"/>
    <x v="74"/>
    <x v="96"/>
    <x v="106"/>
    <x v="110"/>
    <x v="108"/>
    <x v="111"/>
    <x v="97"/>
    <x v="104"/>
    <x v="130"/>
  </r>
  <r>
    <x v="1"/>
    <x v="3"/>
    <x v="8"/>
    <x v="93"/>
    <x v="105"/>
    <x v="103"/>
    <x v="99"/>
    <x v="59"/>
    <x v="75"/>
    <x v="124"/>
    <x v="117"/>
    <x v="100"/>
    <x v="122"/>
    <x v="96"/>
    <x v="112"/>
    <x v="106"/>
    <x v="130"/>
    <x v="121"/>
    <x v="114"/>
    <x v="63"/>
    <x v="119"/>
    <x v="127"/>
    <x v="42"/>
    <x v="106"/>
    <x v="84"/>
    <x v="119"/>
    <x v="36"/>
    <x v="97"/>
    <x v="79"/>
    <x v="111"/>
    <x v="109"/>
    <x v="112"/>
    <x v="98"/>
    <x v="92"/>
    <x v="131"/>
  </r>
  <r>
    <x v="2"/>
    <x v="3"/>
    <x v="8"/>
    <x v="94"/>
    <x v="106"/>
    <x v="102"/>
    <x v="107"/>
    <x v="95"/>
    <x v="113"/>
    <x v="125"/>
    <x v="91"/>
    <x v="101"/>
    <x v="123"/>
    <x v="97"/>
    <x v="116"/>
    <x v="107"/>
    <x v="131"/>
    <x v="122"/>
    <x v="115"/>
    <x v="111"/>
    <x v="102"/>
    <x v="128"/>
    <x v="42"/>
    <x v="107"/>
    <x v="97"/>
    <x v="120"/>
    <x v="75"/>
    <x v="98"/>
    <x v="107"/>
    <x v="112"/>
    <x v="110"/>
    <x v="113"/>
    <x v="99"/>
    <x v="105"/>
    <x v="132"/>
  </r>
  <r>
    <x v="0"/>
    <x v="3"/>
    <x v="9"/>
    <x v="95"/>
    <x v="107"/>
    <x v="104"/>
    <x v="108"/>
    <x v="96"/>
    <x v="114"/>
    <x v="126"/>
    <x v="118"/>
    <x v="102"/>
    <x v="115"/>
    <x v="98"/>
    <x v="117"/>
    <x v="108"/>
    <x v="132"/>
    <x v="123"/>
    <x v="116"/>
    <x v="112"/>
    <x v="120"/>
    <x v="129"/>
    <x v="43"/>
    <x v="108"/>
    <x v="98"/>
    <x v="121"/>
    <x v="76"/>
    <x v="99"/>
    <x v="108"/>
    <x v="113"/>
    <x v="111"/>
    <x v="114"/>
    <x v="100"/>
    <x v="106"/>
    <x v="133"/>
  </r>
  <r>
    <x v="1"/>
    <x v="3"/>
    <x v="9"/>
    <x v="96"/>
    <x v="108"/>
    <x v="86"/>
    <x v="109"/>
    <x v="60"/>
    <x v="65"/>
    <x v="127"/>
    <x v="119"/>
    <x v="103"/>
    <x v="124"/>
    <x v="99"/>
    <x v="118"/>
    <x v="109"/>
    <x v="133"/>
    <x v="124"/>
    <x v="117"/>
    <x v="113"/>
    <x v="78"/>
    <x v="130"/>
    <x v="43"/>
    <x v="75"/>
    <x v="99"/>
    <x v="85"/>
    <x v="41"/>
    <x v="100"/>
    <x v="109"/>
    <x v="111"/>
    <x v="105"/>
    <x v="115"/>
    <x v="80"/>
    <x v="97"/>
    <x v="134"/>
  </r>
  <r>
    <x v="2"/>
    <x v="3"/>
    <x v="9"/>
    <x v="97"/>
    <x v="109"/>
    <x v="105"/>
    <x v="110"/>
    <x v="75"/>
    <x v="115"/>
    <x v="128"/>
    <x v="120"/>
    <x v="104"/>
    <x v="125"/>
    <x v="86"/>
    <x v="119"/>
    <x v="110"/>
    <x v="134"/>
    <x v="125"/>
    <x v="118"/>
    <x v="114"/>
    <x v="121"/>
    <x v="131"/>
    <x v="43"/>
    <x v="109"/>
    <x v="100"/>
    <x v="122"/>
    <x v="77"/>
    <x v="98"/>
    <x v="110"/>
    <x v="114"/>
    <x v="112"/>
    <x v="116"/>
    <x v="101"/>
    <x v="107"/>
    <x v="135"/>
  </r>
  <r>
    <x v="0"/>
    <x v="3"/>
    <x v="11"/>
    <x v="98"/>
    <x v="110"/>
    <x v="103"/>
    <x v="111"/>
    <x v="97"/>
    <x v="116"/>
    <x v="112"/>
    <x v="121"/>
    <x v="102"/>
    <x v="126"/>
    <x v="98"/>
    <x v="120"/>
    <x v="107"/>
    <x v="135"/>
    <x v="126"/>
    <x v="119"/>
    <x v="115"/>
    <x v="122"/>
    <x v="132"/>
    <x v="44"/>
    <x v="110"/>
    <x v="101"/>
    <x v="123"/>
    <x v="78"/>
    <x v="101"/>
    <x v="111"/>
    <x v="115"/>
    <x v="113"/>
    <x v="117"/>
    <x v="102"/>
    <x v="108"/>
    <x v="136"/>
  </r>
  <r>
    <x v="1"/>
    <x v="3"/>
    <x v="11"/>
    <x v="99"/>
    <x v="111"/>
    <x v="106"/>
    <x v="112"/>
    <x v="98"/>
    <x v="77"/>
    <x v="129"/>
    <x v="122"/>
    <x v="105"/>
    <x v="127"/>
    <x v="79"/>
    <x v="121"/>
    <x v="111"/>
    <x v="136"/>
    <x v="124"/>
    <x v="120"/>
    <x v="116"/>
    <x v="123"/>
    <x v="133"/>
    <x v="44"/>
    <x v="111"/>
    <x v="102"/>
    <x v="124"/>
    <x v="79"/>
    <x v="102"/>
    <x v="112"/>
    <x v="116"/>
    <x v="114"/>
    <x v="106"/>
    <x v="103"/>
    <x v="109"/>
    <x v="137"/>
  </r>
  <r>
    <x v="2"/>
    <x v="3"/>
    <x v="11"/>
    <x v="100"/>
    <x v="112"/>
    <x v="83"/>
    <x v="113"/>
    <x v="99"/>
    <x v="76"/>
    <x v="130"/>
    <x v="106"/>
    <x v="104"/>
    <x v="103"/>
    <x v="100"/>
    <x v="122"/>
    <x v="112"/>
    <x v="137"/>
    <x v="127"/>
    <x v="121"/>
    <x v="117"/>
    <x v="124"/>
    <x v="134"/>
    <x v="44"/>
    <x v="112"/>
    <x v="103"/>
    <x v="125"/>
    <x v="80"/>
    <x v="103"/>
    <x v="113"/>
    <x v="107"/>
    <x v="115"/>
    <x v="118"/>
    <x v="92"/>
    <x v="110"/>
    <x v="138"/>
  </r>
  <r>
    <x v="0"/>
    <x v="3"/>
    <x v="12"/>
    <x v="101"/>
    <x v="113"/>
    <x v="101"/>
    <x v="114"/>
    <x v="100"/>
    <x v="117"/>
    <x v="77"/>
    <x v="123"/>
    <x v="101"/>
    <x v="118"/>
    <x v="101"/>
    <x v="123"/>
    <x v="113"/>
    <x v="138"/>
    <x v="128"/>
    <x v="122"/>
    <x v="118"/>
    <x v="125"/>
    <x v="135"/>
    <x v="45"/>
    <x v="113"/>
    <x v="104"/>
    <x v="126"/>
    <x v="81"/>
    <x v="104"/>
    <x v="114"/>
    <x v="117"/>
    <x v="116"/>
    <x v="119"/>
    <x v="104"/>
    <x v="111"/>
    <x v="139"/>
  </r>
  <r>
    <x v="1"/>
    <x v="3"/>
    <x v="12"/>
    <x v="102"/>
    <x v="104"/>
    <x v="107"/>
    <x v="115"/>
    <x v="66"/>
    <x v="118"/>
    <x v="131"/>
    <x v="99"/>
    <x v="106"/>
    <x v="128"/>
    <x v="73"/>
    <x v="124"/>
    <x v="114"/>
    <x v="139"/>
    <x v="129"/>
    <x v="123"/>
    <x v="119"/>
    <x v="126"/>
    <x v="136"/>
    <x v="45"/>
    <x v="114"/>
    <x v="105"/>
    <x v="127"/>
    <x v="82"/>
    <x v="88"/>
    <x v="115"/>
    <x v="93"/>
    <x v="117"/>
    <x v="120"/>
    <x v="105"/>
    <x v="112"/>
    <x v="140"/>
  </r>
  <r>
    <x v="2"/>
    <x v="3"/>
    <x v="12"/>
    <x v="103"/>
    <x v="107"/>
    <x v="108"/>
    <x v="116"/>
    <x v="89"/>
    <x v="52"/>
    <x v="132"/>
    <x v="124"/>
    <x v="107"/>
    <x v="129"/>
    <x v="102"/>
    <x v="125"/>
    <x v="96"/>
    <x v="140"/>
    <x v="130"/>
    <x v="105"/>
    <x v="95"/>
    <x v="127"/>
    <x v="137"/>
    <x v="45"/>
    <x v="115"/>
    <x v="106"/>
    <x v="128"/>
    <x v="73"/>
    <x v="105"/>
    <x v="116"/>
    <x v="118"/>
    <x v="118"/>
    <x v="121"/>
    <x v="106"/>
    <x v="113"/>
    <x v="141"/>
  </r>
  <r>
    <x v="0"/>
    <x v="4"/>
    <x v="0"/>
    <x v="104"/>
    <x v="112"/>
    <x v="109"/>
    <x v="117"/>
    <x v="101"/>
    <x v="103"/>
    <x v="133"/>
    <x v="125"/>
    <x v="108"/>
    <x v="130"/>
    <x v="103"/>
    <x v="126"/>
    <x v="115"/>
    <x v="141"/>
    <x v="130"/>
    <x v="124"/>
    <x v="120"/>
    <x v="128"/>
    <x v="138"/>
    <x v="46"/>
    <x v="116"/>
    <x v="107"/>
    <x v="129"/>
    <x v="83"/>
    <x v="106"/>
    <x v="117"/>
    <x v="119"/>
    <x v="119"/>
    <x v="122"/>
    <x v="107"/>
    <x v="114"/>
    <x v="142"/>
  </r>
  <r>
    <x v="1"/>
    <x v="4"/>
    <x v="0"/>
    <x v="105"/>
    <x v="114"/>
    <x v="110"/>
    <x v="115"/>
    <x v="69"/>
    <x v="119"/>
    <x v="134"/>
    <x v="126"/>
    <x v="109"/>
    <x v="131"/>
    <x v="104"/>
    <x v="127"/>
    <x v="116"/>
    <x v="142"/>
    <x v="131"/>
    <x v="125"/>
    <x v="81"/>
    <x v="83"/>
    <x v="83"/>
    <x v="46"/>
    <x v="78"/>
    <x v="108"/>
    <x v="130"/>
    <x v="77"/>
    <x v="91"/>
    <x v="82"/>
    <x v="103"/>
    <x v="112"/>
    <x v="123"/>
    <x v="96"/>
    <x v="115"/>
    <x v="143"/>
  </r>
  <r>
    <x v="2"/>
    <x v="4"/>
    <x v="0"/>
    <x v="106"/>
    <x v="104"/>
    <x v="111"/>
    <x v="118"/>
    <x v="102"/>
    <x v="120"/>
    <x v="135"/>
    <x v="127"/>
    <x v="105"/>
    <x v="132"/>
    <x v="102"/>
    <x v="128"/>
    <x v="117"/>
    <x v="143"/>
    <x v="132"/>
    <x v="126"/>
    <x v="97"/>
    <x v="110"/>
    <x v="139"/>
    <x v="46"/>
    <x v="117"/>
    <x v="109"/>
    <x v="131"/>
    <x v="74"/>
    <x v="107"/>
    <x v="118"/>
    <x v="120"/>
    <x v="120"/>
    <x v="121"/>
    <x v="108"/>
    <x v="96"/>
    <x v="144"/>
  </r>
  <r>
    <x v="0"/>
    <x v="4"/>
    <x v="1"/>
    <x v="107"/>
    <x v="115"/>
    <x v="112"/>
    <x v="119"/>
    <x v="103"/>
    <x v="121"/>
    <x v="136"/>
    <x v="128"/>
    <x v="110"/>
    <x v="133"/>
    <x v="105"/>
    <x v="129"/>
    <x v="94"/>
    <x v="144"/>
    <x v="133"/>
    <x v="127"/>
    <x v="120"/>
    <x v="129"/>
    <x v="140"/>
    <x v="47"/>
    <x v="118"/>
    <x v="110"/>
    <x v="132"/>
    <x v="84"/>
    <x v="108"/>
    <x v="119"/>
    <x v="121"/>
    <x v="121"/>
    <x v="124"/>
    <x v="109"/>
    <x v="116"/>
    <x v="145"/>
  </r>
  <r>
    <x v="1"/>
    <x v="4"/>
    <x v="1"/>
    <x v="106"/>
    <x v="116"/>
    <x v="112"/>
    <x v="102"/>
    <x v="104"/>
    <x v="122"/>
    <x v="137"/>
    <x v="129"/>
    <x v="111"/>
    <x v="134"/>
    <x v="106"/>
    <x v="130"/>
    <x v="85"/>
    <x v="145"/>
    <x v="134"/>
    <x v="128"/>
    <x v="121"/>
    <x v="130"/>
    <x v="141"/>
    <x v="47"/>
    <x v="119"/>
    <x v="62"/>
    <x v="133"/>
    <x v="85"/>
    <x v="107"/>
    <x v="93"/>
    <x v="122"/>
    <x v="112"/>
    <x v="125"/>
    <x v="110"/>
    <x v="117"/>
    <x v="146"/>
  </r>
  <r>
    <x v="2"/>
    <x v="4"/>
    <x v="1"/>
    <x v="104"/>
    <x v="102"/>
    <x v="112"/>
    <x v="120"/>
    <x v="105"/>
    <x v="123"/>
    <x v="138"/>
    <x v="130"/>
    <x v="109"/>
    <x v="135"/>
    <x v="107"/>
    <x v="131"/>
    <x v="118"/>
    <x v="146"/>
    <x v="135"/>
    <x v="129"/>
    <x v="122"/>
    <x v="131"/>
    <x v="142"/>
    <x v="47"/>
    <x v="120"/>
    <x v="111"/>
    <x v="134"/>
    <x v="86"/>
    <x v="103"/>
    <x v="120"/>
    <x v="123"/>
    <x v="122"/>
    <x v="126"/>
    <x v="111"/>
    <x v="118"/>
    <x v="147"/>
  </r>
  <r>
    <x v="0"/>
    <x v="4"/>
    <x v="2"/>
    <x v="108"/>
    <x v="102"/>
    <x v="113"/>
    <x v="119"/>
    <x v="100"/>
    <x v="124"/>
    <x v="139"/>
    <x v="131"/>
    <x v="112"/>
    <x v="136"/>
    <x v="108"/>
    <x v="132"/>
    <x v="119"/>
    <x v="147"/>
    <x v="136"/>
    <x v="130"/>
    <x v="123"/>
    <x v="132"/>
    <x v="143"/>
    <x v="48"/>
    <x v="121"/>
    <x v="112"/>
    <x v="135"/>
    <x v="87"/>
    <x v="109"/>
    <x v="121"/>
    <x v="124"/>
    <x v="123"/>
    <x v="127"/>
    <x v="112"/>
    <x v="111"/>
    <x v="148"/>
  </r>
  <r>
    <x v="1"/>
    <x v="4"/>
    <x v="2"/>
    <x v="109"/>
    <x v="117"/>
    <x v="114"/>
    <x v="121"/>
    <x v="69"/>
    <x v="125"/>
    <x v="36"/>
    <x v="132"/>
    <x v="113"/>
    <x v="137"/>
    <x v="85"/>
    <x v="117"/>
    <x v="84"/>
    <x v="148"/>
    <x v="137"/>
    <x v="131"/>
    <x v="124"/>
    <x v="133"/>
    <x v="144"/>
    <x v="48"/>
    <x v="80"/>
    <x v="72"/>
    <x v="136"/>
    <x v="88"/>
    <x v="107"/>
    <x v="85"/>
    <x v="125"/>
    <x v="115"/>
    <x v="108"/>
    <x v="113"/>
    <x v="119"/>
    <x v="149"/>
  </r>
  <r>
    <x v="2"/>
    <x v="4"/>
    <x v="2"/>
    <x v="107"/>
    <x v="118"/>
    <x v="84"/>
    <x v="114"/>
    <x v="106"/>
    <x v="126"/>
    <x v="43"/>
    <x v="133"/>
    <x v="114"/>
    <x v="138"/>
    <x v="109"/>
    <x v="133"/>
    <x v="117"/>
    <x v="149"/>
    <x v="138"/>
    <x v="132"/>
    <x v="99"/>
    <x v="134"/>
    <x v="145"/>
    <x v="48"/>
    <x v="122"/>
    <x v="94"/>
    <x v="121"/>
    <x v="89"/>
    <x v="103"/>
    <x v="106"/>
    <x v="126"/>
    <x v="124"/>
    <x v="128"/>
    <x v="114"/>
    <x v="105"/>
    <x v="150"/>
  </r>
  <r>
    <x v="0"/>
    <x v="4"/>
    <x v="3"/>
    <x v="110"/>
    <x v="119"/>
    <x v="80"/>
    <x v="122"/>
    <x v="107"/>
    <x v="127"/>
    <x v="140"/>
    <x v="134"/>
    <x v="115"/>
    <x v="139"/>
    <x v="110"/>
    <x v="134"/>
    <x v="120"/>
    <x v="150"/>
    <x v="135"/>
    <x v="133"/>
    <x v="125"/>
    <x v="135"/>
    <x v="146"/>
    <x v="49"/>
    <x v="123"/>
    <x v="113"/>
    <x v="137"/>
    <x v="90"/>
    <x v="110"/>
    <x v="122"/>
    <x v="127"/>
    <x v="125"/>
    <x v="127"/>
    <x v="115"/>
    <x v="120"/>
    <x v="151"/>
  </r>
  <r>
    <x v="1"/>
    <x v="4"/>
    <x v="3"/>
    <x v="109"/>
    <x v="120"/>
    <x v="37"/>
    <x v="114"/>
    <x v="66"/>
    <x v="128"/>
    <x v="141"/>
    <x v="74"/>
    <x v="116"/>
    <x v="140"/>
    <x v="111"/>
    <x v="135"/>
    <x v="119"/>
    <x v="151"/>
    <x v="139"/>
    <x v="134"/>
    <x v="126"/>
    <x v="136"/>
    <x v="147"/>
    <x v="49"/>
    <x v="83"/>
    <x v="114"/>
    <x v="138"/>
    <x v="75"/>
    <x v="111"/>
    <x v="123"/>
    <x v="128"/>
    <x v="126"/>
    <x v="129"/>
    <x v="87"/>
    <x v="121"/>
    <x v="152"/>
  </r>
  <r>
    <x v="2"/>
    <x v="4"/>
    <x v="3"/>
    <x v="111"/>
    <x v="117"/>
    <x v="115"/>
    <x v="119"/>
    <x v="108"/>
    <x v="129"/>
    <x v="142"/>
    <x v="135"/>
    <x v="117"/>
    <x v="141"/>
    <x v="112"/>
    <x v="136"/>
    <x v="120"/>
    <x v="152"/>
    <x v="140"/>
    <x v="135"/>
    <x v="101"/>
    <x v="137"/>
    <x v="148"/>
    <x v="49"/>
    <x v="124"/>
    <x v="98"/>
    <x v="139"/>
    <x v="91"/>
    <x v="112"/>
    <x v="124"/>
    <x v="129"/>
    <x v="127"/>
    <x v="130"/>
    <x v="114"/>
    <x v="101"/>
    <x v="153"/>
  </r>
  <r>
    <x v="0"/>
    <x v="4"/>
    <x v="4"/>
    <x v="104"/>
    <x v="103"/>
    <x v="116"/>
    <x v="123"/>
    <x v="96"/>
    <x v="110"/>
    <x v="143"/>
    <x v="136"/>
    <x v="118"/>
    <x v="142"/>
    <x v="113"/>
    <x v="137"/>
    <x v="121"/>
    <x v="153"/>
    <x v="141"/>
    <x v="136"/>
    <x v="127"/>
    <x v="138"/>
    <x v="149"/>
    <x v="50"/>
    <x v="125"/>
    <x v="113"/>
    <x v="140"/>
    <x v="92"/>
    <x v="110"/>
    <x v="125"/>
    <x v="130"/>
    <x v="128"/>
    <x v="131"/>
    <x v="116"/>
    <x v="122"/>
    <x v="154"/>
  </r>
  <r>
    <x v="1"/>
    <x v="4"/>
    <x v="4"/>
    <x v="101"/>
    <x v="121"/>
    <x v="117"/>
    <x v="124"/>
    <x v="109"/>
    <x v="130"/>
    <x v="17"/>
    <x v="137"/>
    <x v="119"/>
    <x v="143"/>
    <x v="111"/>
    <x v="138"/>
    <x v="94"/>
    <x v="154"/>
    <x v="142"/>
    <x v="137"/>
    <x v="128"/>
    <x v="101"/>
    <x v="106"/>
    <x v="50"/>
    <x v="126"/>
    <x v="67"/>
    <x v="141"/>
    <x v="75"/>
    <x v="94"/>
    <x v="126"/>
    <x v="128"/>
    <x v="124"/>
    <x v="132"/>
    <x v="113"/>
    <x v="123"/>
    <x v="155"/>
  </r>
  <r>
    <x v="2"/>
    <x v="4"/>
    <x v="4"/>
    <x v="112"/>
    <x v="122"/>
    <x v="58"/>
    <x v="122"/>
    <x v="110"/>
    <x v="131"/>
    <x v="144"/>
    <x v="138"/>
    <x v="120"/>
    <x v="133"/>
    <x v="114"/>
    <x v="139"/>
    <x v="115"/>
    <x v="155"/>
    <x v="143"/>
    <x v="138"/>
    <x v="129"/>
    <x v="139"/>
    <x v="150"/>
    <x v="50"/>
    <x v="127"/>
    <x v="115"/>
    <x v="142"/>
    <x v="93"/>
    <x v="99"/>
    <x v="127"/>
    <x v="131"/>
    <x v="129"/>
    <x v="111"/>
    <x v="117"/>
    <x v="107"/>
    <x v="156"/>
  </r>
  <r>
    <x v="0"/>
    <x v="4"/>
    <x v="5"/>
    <x v="113"/>
    <x v="123"/>
    <x v="118"/>
    <x v="125"/>
    <x v="111"/>
    <x v="132"/>
    <x v="145"/>
    <x v="139"/>
    <x v="121"/>
    <x v="144"/>
    <x v="115"/>
    <x v="140"/>
    <x v="122"/>
    <x v="156"/>
    <x v="144"/>
    <x v="139"/>
    <x v="130"/>
    <x v="140"/>
    <x v="151"/>
    <x v="51"/>
    <x v="128"/>
    <x v="116"/>
    <x v="143"/>
    <x v="92"/>
    <x v="113"/>
    <x v="128"/>
    <x v="132"/>
    <x v="130"/>
    <x v="133"/>
    <x v="118"/>
    <x v="124"/>
    <x v="157"/>
  </r>
  <r>
    <x v="1"/>
    <x v="4"/>
    <x v="5"/>
    <x v="112"/>
    <x v="124"/>
    <x v="96"/>
    <x v="126"/>
    <x v="66"/>
    <x v="133"/>
    <x v="146"/>
    <x v="140"/>
    <x v="122"/>
    <x v="123"/>
    <x v="87"/>
    <x v="120"/>
    <x v="106"/>
    <x v="157"/>
    <x v="145"/>
    <x v="137"/>
    <x v="128"/>
    <x v="101"/>
    <x v="106"/>
    <x v="51"/>
    <x v="129"/>
    <x v="117"/>
    <x v="144"/>
    <x v="64"/>
    <x v="114"/>
    <x v="129"/>
    <x v="109"/>
    <x v="131"/>
    <x v="113"/>
    <x v="119"/>
    <x v="125"/>
    <x v="158"/>
  </r>
  <r>
    <x v="2"/>
    <x v="4"/>
    <x v="5"/>
    <x v="107"/>
    <x v="125"/>
    <x v="119"/>
    <x v="127"/>
    <x v="86"/>
    <x v="112"/>
    <x v="147"/>
    <x v="141"/>
    <x v="123"/>
    <x v="112"/>
    <x v="116"/>
    <x v="141"/>
    <x v="111"/>
    <x v="158"/>
    <x v="146"/>
    <x v="113"/>
    <x v="131"/>
    <x v="141"/>
    <x v="152"/>
    <x v="51"/>
    <x v="130"/>
    <x v="118"/>
    <x v="145"/>
    <x v="94"/>
    <x v="115"/>
    <x v="130"/>
    <x v="133"/>
    <x v="132"/>
    <x v="134"/>
    <x v="120"/>
    <x v="126"/>
    <x v="159"/>
  </r>
  <r>
    <x v="0"/>
    <x v="4"/>
    <x v="6"/>
    <x v="114"/>
    <x v="100"/>
    <x v="120"/>
    <x v="128"/>
    <x v="111"/>
    <x v="134"/>
    <x v="148"/>
    <x v="142"/>
    <x v="124"/>
    <x v="107"/>
    <x v="117"/>
    <x v="142"/>
    <x v="123"/>
    <x v="159"/>
    <x v="147"/>
    <x v="140"/>
    <x v="132"/>
    <x v="142"/>
    <x v="153"/>
    <x v="52"/>
    <x v="131"/>
    <x v="119"/>
    <x v="146"/>
    <x v="83"/>
    <x v="116"/>
    <x v="131"/>
    <x v="134"/>
    <x v="133"/>
    <x v="135"/>
    <x v="121"/>
    <x v="127"/>
    <x v="160"/>
  </r>
  <r>
    <x v="1"/>
    <x v="4"/>
    <x v="6"/>
    <x v="106"/>
    <x v="126"/>
    <x v="121"/>
    <x v="122"/>
    <x v="109"/>
    <x v="135"/>
    <x v="149"/>
    <x v="143"/>
    <x v="125"/>
    <x v="145"/>
    <x v="90"/>
    <x v="143"/>
    <x v="101"/>
    <x v="160"/>
    <x v="148"/>
    <x v="141"/>
    <x v="133"/>
    <x v="143"/>
    <x v="154"/>
    <x v="52"/>
    <x v="132"/>
    <x v="120"/>
    <x v="147"/>
    <x v="37"/>
    <x v="117"/>
    <x v="132"/>
    <x v="135"/>
    <x v="134"/>
    <x v="116"/>
    <x v="122"/>
    <x v="128"/>
    <x v="161"/>
  </r>
  <r>
    <x v="2"/>
    <x v="4"/>
    <x v="6"/>
    <x v="108"/>
    <x v="127"/>
    <x v="97"/>
    <x v="129"/>
    <x v="110"/>
    <x v="127"/>
    <x v="150"/>
    <x v="144"/>
    <x v="126"/>
    <x v="146"/>
    <x v="118"/>
    <x v="137"/>
    <x v="124"/>
    <x v="161"/>
    <x v="149"/>
    <x v="142"/>
    <x v="134"/>
    <x v="144"/>
    <x v="155"/>
    <x v="52"/>
    <x v="133"/>
    <x v="115"/>
    <x v="148"/>
    <x v="73"/>
    <x v="118"/>
    <x v="133"/>
    <x v="136"/>
    <x v="135"/>
    <x v="136"/>
    <x v="123"/>
    <x v="129"/>
    <x v="162"/>
  </r>
  <r>
    <x v="0"/>
    <x v="4"/>
    <x v="7"/>
    <x v="115"/>
    <x v="128"/>
    <x v="122"/>
    <x v="130"/>
    <x v="112"/>
    <x v="136"/>
    <x v="151"/>
    <x v="73"/>
    <x v="116"/>
    <x v="147"/>
    <x v="119"/>
    <x v="144"/>
    <x v="125"/>
    <x v="162"/>
    <x v="150"/>
    <x v="143"/>
    <x v="135"/>
    <x v="145"/>
    <x v="156"/>
    <x v="53"/>
    <x v="134"/>
    <x v="121"/>
    <x v="149"/>
    <x v="95"/>
    <x v="119"/>
    <x v="134"/>
    <x v="137"/>
    <x v="136"/>
    <x v="137"/>
    <x v="124"/>
    <x v="130"/>
    <x v="163"/>
  </r>
  <r>
    <x v="1"/>
    <x v="4"/>
    <x v="7"/>
    <x v="110"/>
    <x v="97"/>
    <x v="96"/>
    <x v="131"/>
    <x v="63"/>
    <x v="137"/>
    <x v="152"/>
    <x v="145"/>
    <x v="127"/>
    <x v="118"/>
    <x v="120"/>
    <x v="139"/>
    <x v="126"/>
    <x v="163"/>
    <x v="151"/>
    <x v="144"/>
    <x v="136"/>
    <x v="109"/>
    <x v="157"/>
    <x v="53"/>
    <x v="91"/>
    <x v="122"/>
    <x v="150"/>
    <x v="96"/>
    <x v="109"/>
    <x v="135"/>
    <x v="107"/>
    <x v="125"/>
    <x v="104"/>
    <x v="92"/>
    <x v="131"/>
    <x v="164"/>
  </r>
  <r>
    <x v="2"/>
    <x v="4"/>
    <x v="7"/>
    <x v="116"/>
    <x v="129"/>
    <x v="112"/>
    <x v="128"/>
    <x v="110"/>
    <x v="138"/>
    <x v="58"/>
    <x v="146"/>
    <x v="128"/>
    <x v="136"/>
    <x v="98"/>
    <x v="145"/>
    <x v="125"/>
    <x v="164"/>
    <x v="152"/>
    <x v="145"/>
    <x v="108"/>
    <x v="146"/>
    <x v="158"/>
    <x v="53"/>
    <x v="135"/>
    <x v="98"/>
    <x v="151"/>
    <x v="97"/>
    <x v="120"/>
    <x v="136"/>
    <x v="127"/>
    <x v="137"/>
    <x v="119"/>
    <x v="125"/>
    <x v="132"/>
    <x v="165"/>
  </r>
  <r>
    <x v="0"/>
    <x v="4"/>
    <x v="8"/>
    <x v="117"/>
    <x v="130"/>
    <x v="102"/>
    <x v="132"/>
    <x v="113"/>
    <x v="139"/>
    <x v="153"/>
    <x v="147"/>
    <x v="119"/>
    <x v="147"/>
    <x v="121"/>
    <x v="146"/>
    <x v="127"/>
    <x v="165"/>
    <x v="152"/>
    <x v="146"/>
    <x v="137"/>
    <x v="147"/>
    <x v="159"/>
    <x v="54"/>
    <x v="136"/>
    <x v="123"/>
    <x v="152"/>
    <x v="98"/>
    <x v="121"/>
    <x v="137"/>
    <x v="138"/>
    <x v="138"/>
    <x v="138"/>
    <x v="126"/>
    <x v="133"/>
    <x v="166"/>
  </r>
  <r>
    <x v="1"/>
    <x v="4"/>
    <x v="8"/>
    <x v="108"/>
    <x v="131"/>
    <x v="123"/>
    <x v="133"/>
    <x v="85"/>
    <x v="140"/>
    <x v="154"/>
    <x v="148"/>
    <x v="129"/>
    <x v="148"/>
    <x v="80"/>
    <x v="147"/>
    <x v="103"/>
    <x v="166"/>
    <x v="153"/>
    <x v="147"/>
    <x v="138"/>
    <x v="111"/>
    <x v="160"/>
    <x v="54"/>
    <x v="137"/>
    <x v="56"/>
    <x v="153"/>
    <x v="80"/>
    <x v="116"/>
    <x v="110"/>
    <x v="139"/>
    <x v="139"/>
    <x v="139"/>
    <x v="127"/>
    <x v="114"/>
    <x v="138"/>
  </r>
  <r>
    <x v="2"/>
    <x v="4"/>
    <x v="8"/>
    <x v="118"/>
    <x v="132"/>
    <x v="105"/>
    <x v="134"/>
    <x v="108"/>
    <x v="141"/>
    <x v="155"/>
    <x v="149"/>
    <x v="125"/>
    <x v="136"/>
    <x v="95"/>
    <x v="148"/>
    <x v="124"/>
    <x v="167"/>
    <x v="154"/>
    <x v="148"/>
    <x v="139"/>
    <x v="128"/>
    <x v="161"/>
    <x v="54"/>
    <x v="138"/>
    <x v="124"/>
    <x v="154"/>
    <x v="99"/>
    <x v="122"/>
    <x v="121"/>
    <x v="140"/>
    <x v="140"/>
    <x v="140"/>
    <x v="115"/>
    <x v="134"/>
    <x v="167"/>
  </r>
  <r>
    <x v="0"/>
    <x v="4"/>
    <x v="9"/>
    <x v="119"/>
    <x v="133"/>
    <x v="124"/>
    <x v="135"/>
    <x v="114"/>
    <x v="142"/>
    <x v="156"/>
    <x v="150"/>
    <x v="130"/>
    <x v="136"/>
    <x v="122"/>
    <x v="149"/>
    <x v="128"/>
    <x v="168"/>
    <x v="148"/>
    <x v="149"/>
    <x v="140"/>
    <x v="148"/>
    <x v="162"/>
    <x v="55"/>
    <x v="139"/>
    <x v="125"/>
    <x v="155"/>
    <x v="100"/>
    <x v="123"/>
    <x v="138"/>
    <x v="141"/>
    <x v="141"/>
    <x v="141"/>
    <x v="128"/>
    <x v="135"/>
    <x v="168"/>
  </r>
  <r>
    <x v="1"/>
    <x v="4"/>
    <x v="9"/>
    <x v="120"/>
    <x v="134"/>
    <x v="125"/>
    <x v="136"/>
    <x v="77"/>
    <x v="117"/>
    <x v="157"/>
    <x v="151"/>
    <x v="131"/>
    <x v="145"/>
    <x v="123"/>
    <x v="134"/>
    <x v="129"/>
    <x v="169"/>
    <x v="155"/>
    <x v="150"/>
    <x v="141"/>
    <x v="96"/>
    <x v="163"/>
    <x v="55"/>
    <x v="140"/>
    <x v="63"/>
    <x v="156"/>
    <x v="101"/>
    <x v="124"/>
    <x v="139"/>
    <x v="129"/>
    <x v="128"/>
    <x v="142"/>
    <x v="127"/>
    <x v="102"/>
    <x v="169"/>
  </r>
  <r>
    <x v="2"/>
    <x v="4"/>
    <x v="9"/>
    <x v="121"/>
    <x v="135"/>
    <x v="126"/>
    <x v="137"/>
    <x v="115"/>
    <x v="143"/>
    <x v="158"/>
    <x v="152"/>
    <x v="132"/>
    <x v="115"/>
    <x v="98"/>
    <x v="150"/>
    <x v="130"/>
    <x v="170"/>
    <x v="156"/>
    <x v="151"/>
    <x v="142"/>
    <x v="132"/>
    <x v="140"/>
    <x v="55"/>
    <x v="118"/>
    <x v="126"/>
    <x v="157"/>
    <x v="76"/>
    <x v="125"/>
    <x v="128"/>
    <x v="142"/>
    <x v="142"/>
    <x v="143"/>
    <x v="129"/>
    <x v="136"/>
    <x v="170"/>
  </r>
  <r>
    <x v="0"/>
    <x v="4"/>
    <x v="11"/>
    <x v="122"/>
    <x v="136"/>
    <x v="127"/>
    <x v="135"/>
    <x v="100"/>
    <x v="144"/>
    <x v="159"/>
    <x v="132"/>
    <x v="133"/>
    <x v="133"/>
    <x v="124"/>
    <x v="151"/>
    <x v="131"/>
    <x v="171"/>
    <x v="151"/>
    <x v="152"/>
    <x v="143"/>
    <x v="149"/>
    <x v="164"/>
    <x v="56"/>
    <x v="141"/>
    <x v="127"/>
    <x v="158"/>
    <x v="102"/>
    <x v="126"/>
    <x v="140"/>
    <x v="143"/>
    <x v="143"/>
    <x v="144"/>
    <x v="130"/>
    <x v="137"/>
    <x v="171"/>
  </r>
  <r>
    <x v="1"/>
    <x v="4"/>
    <x v="11"/>
    <x v="116"/>
    <x v="94"/>
    <x v="128"/>
    <x v="138"/>
    <x v="116"/>
    <x v="145"/>
    <x v="160"/>
    <x v="153"/>
    <x v="134"/>
    <x v="149"/>
    <x v="84"/>
    <x v="152"/>
    <x v="132"/>
    <x v="172"/>
    <x v="157"/>
    <x v="100"/>
    <x v="144"/>
    <x v="150"/>
    <x v="165"/>
    <x v="56"/>
    <x v="142"/>
    <x v="75"/>
    <x v="159"/>
    <x v="103"/>
    <x v="127"/>
    <x v="120"/>
    <x v="144"/>
    <x v="144"/>
    <x v="130"/>
    <x v="97"/>
    <x v="138"/>
    <x v="172"/>
  </r>
  <r>
    <x v="2"/>
    <x v="4"/>
    <x v="11"/>
    <x v="123"/>
    <x v="132"/>
    <x v="129"/>
    <x v="139"/>
    <x v="105"/>
    <x v="146"/>
    <x v="161"/>
    <x v="154"/>
    <x v="135"/>
    <x v="126"/>
    <x v="125"/>
    <x v="153"/>
    <x v="133"/>
    <x v="173"/>
    <x v="158"/>
    <x v="153"/>
    <x v="145"/>
    <x v="138"/>
    <x v="166"/>
    <x v="56"/>
    <x v="143"/>
    <x v="119"/>
    <x v="160"/>
    <x v="99"/>
    <x v="128"/>
    <x v="141"/>
    <x v="145"/>
    <x v="133"/>
    <x v="145"/>
    <x v="131"/>
    <x v="133"/>
    <x v="173"/>
  </r>
  <r>
    <x v="0"/>
    <x v="4"/>
    <x v="12"/>
    <x v="124"/>
    <x v="123"/>
    <x v="130"/>
    <x v="140"/>
    <x v="117"/>
    <x v="147"/>
    <x v="162"/>
    <x v="74"/>
    <x v="136"/>
    <x v="91"/>
    <x v="126"/>
    <x v="151"/>
    <x v="132"/>
    <x v="174"/>
    <x v="158"/>
    <x v="154"/>
    <x v="146"/>
    <x v="151"/>
    <x v="167"/>
    <x v="57"/>
    <x v="144"/>
    <x v="128"/>
    <x v="161"/>
    <x v="104"/>
    <x v="129"/>
    <x v="142"/>
    <x v="143"/>
    <x v="145"/>
    <x v="146"/>
    <x v="132"/>
    <x v="139"/>
    <x v="174"/>
  </r>
  <r>
    <x v="1"/>
    <x v="4"/>
    <x v="12"/>
    <x v="125"/>
    <x v="137"/>
    <x v="131"/>
    <x v="138"/>
    <x v="118"/>
    <x v="148"/>
    <x v="163"/>
    <x v="155"/>
    <x v="137"/>
    <x v="103"/>
    <x v="127"/>
    <x v="154"/>
    <x v="134"/>
    <x v="175"/>
    <x v="159"/>
    <x v="155"/>
    <x v="147"/>
    <x v="152"/>
    <x v="168"/>
    <x v="57"/>
    <x v="97"/>
    <x v="109"/>
    <x v="162"/>
    <x v="103"/>
    <x v="124"/>
    <x v="143"/>
    <x v="146"/>
    <x v="146"/>
    <x v="147"/>
    <x v="114"/>
    <x v="140"/>
    <x v="175"/>
  </r>
  <r>
    <x v="2"/>
    <x v="4"/>
    <x v="12"/>
    <x v="126"/>
    <x v="138"/>
    <x v="132"/>
    <x v="141"/>
    <x v="112"/>
    <x v="143"/>
    <x v="164"/>
    <x v="156"/>
    <x v="125"/>
    <x v="94"/>
    <x v="95"/>
    <x v="155"/>
    <x v="126"/>
    <x v="176"/>
    <x v="160"/>
    <x v="139"/>
    <x v="148"/>
    <x v="153"/>
    <x v="169"/>
    <x v="57"/>
    <x v="145"/>
    <x v="129"/>
    <x v="163"/>
    <x v="105"/>
    <x v="130"/>
    <x v="144"/>
    <x v="147"/>
    <x v="147"/>
    <x v="148"/>
    <x v="121"/>
    <x v="141"/>
    <x v="176"/>
  </r>
  <r>
    <x v="0"/>
    <x v="5"/>
    <x v="0"/>
    <x v="127"/>
    <x v="139"/>
    <x v="133"/>
    <x v="142"/>
    <x v="119"/>
    <x v="149"/>
    <x v="165"/>
    <x v="157"/>
    <x v="111"/>
    <x v="133"/>
    <x v="128"/>
    <x v="156"/>
    <x v="128"/>
    <x v="177"/>
    <x v="153"/>
    <x v="156"/>
    <x v="149"/>
    <x v="154"/>
    <x v="170"/>
    <x v="58"/>
    <x v="146"/>
    <x v="130"/>
    <x v="164"/>
    <x v="106"/>
    <x v="131"/>
    <x v="145"/>
    <x v="148"/>
    <x v="148"/>
    <x v="149"/>
    <x v="133"/>
    <x v="142"/>
    <x v="177"/>
  </r>
  <r>
    <x v="1"/>
    <x v="5"/>
    <x v="0"/>
    <x v="128"/>
    <x v="123"/>
    <x v="134"/>
    <x v="134"/>
    <x v="91"/>
    <x v="150"/>
    <x v="166"/>
    <x v="158"/>
    <x v="109"/>
    <x v="150"/>
    <x v="129"/>
    <x v="145"/>
    <x v="105"/>
    <x v="178"/>
    <x v="161"/>
    <x v="157"/>
    <x v="150"/>
    <x v="104"/>
    <x v="171"/>
    <x v="58"/>
    <x v="147"/>
    <x v="131"/>
    <x v="165"/>
    <x v="70"/>
    <x v="132"/>
    <x v="146"/>
    <x v="149"/>
    <x v="149"/>
    <x v="150"/>
    <x v="134"/>
    <x v="140"/>
    <x v="178"/>
  </r>
  <r>
    <x v="2"/>
    <x v="5"/>
    <x v="0"/>
    <x v="129"/>
    <x v="100"/>
    <x v="135"/>
    <x v="143"/>
    <x v="113"/>
    <x v="151"/>
    <x v="167"/>
    <x v="159"/>
    <x v="138"/>
    <x v="118"/>
    <x v="103"/>
    <x v="157"/>
    <x v="135"/>
    <x v="179"/>
    <x v="162"/>
    <x v="158"/>
    <x v="151"/>
    <x v="140"/>
    <x v="172"/>
    <x v="58"/>
    <x v="125"/>
    <x v="129"/>
    <x v="166"/>
    <x v="107"/>
    <x v="133"/>
    <x v="147"/>
    <x v="150"/>
    <x v="150"/>
    <x v="151"/>
    <x v="135"/>
    <x v="143"/>
    <x v="179"/>
  </r>
  <r>
    <x v="0"/>
    <x v="5"/>
    <x v="1"/>
    <x v="124"/>
    <x v="123"/>
    <x v="136"/>
    <x v="135"/>
    <x v="120"/>
    <x v="152"/>
    <x v="168"/>
    <x v="160"/>
    <x v="139"/>
    <x v="136"/>
    <x v="130"/>
    <x v="158"/>
    <x v="136"/>
    <x v="180"/>
    <x v="163"/>
    <x v="159"/>
    <x v="152"/>
    <x v="155"/>
    <x v="173"/>
    <x v="59"/>
    <x v="148"/>
    <x v="132"/>
    <x v="167"/>
    <x v="108"/>
    <x v="134"/>
    <x v="148"/>
    <x v="151"/>
    <x v="143"/>
    <x v="149"/>
    <x v="136"/>
    <x v="144"/>
    <x v="180"/>
  </r>
  <r>
    <x v="1"/>
    <x v="5"/>
    <x v="1"/>
    <x v="115"/>
    <x v="131"/>
    <x v="137"/>
    <x v="144"/>
    <x v="121"/>
    <x v="105"/>
    <x v="169"/>
    <x v="161"/>
    <x v="103"/>
    <x v="151"/>
    <x v="129"/>
    <x v="159"/>
    <x v="137"/>
    <x v="181"/>
    <x v="164"/>
    <x v="105"/>
    <x v="98"/>
    <x v="156"/>
    <x v="107"/>
    <x v="59"/>
    <x v="149"/>
    <x v="131"/>
    <x v="168"/>
    <x v="86"/>
    <x v="125"/>
    <x v="149"/>
    <x v="152"/>
    <x v="151"/>
    <x v="114"/>
    <x v="137"/>
    <x v="145"/>
    <x v="181"/>
  </r>
  <r>
    <x v="2"/>
    <x v="5"/>
    <x v="1"/>
    <x v="119"/>
    <x v="140"/>
    <x v="138"/>
    <x v="145"/>
    <x v="122"/>
    <x v="153"/>
    <x v="68"/>
    <x v="162"/>
    <x v="140"/>
    <x v="148"/>
    <x v="131"/>
    <x v="160"/>
    <x v="100"/>
    <x v="182"/>
    <x v="165"/>
    <x v="160"/>
    <x v="153"/>
    <x v="157"/>
    <x v="174"/>
    <x v="59"/>
    <x v="128"/>
    <x v="133"/>
    <x v="169"/>
    <x v="109"/>
    <x v="135"/>
    <x v="150"/>
    <x v="153"/>
    <x v="150"/>
    <x v="152"/>
    <x v="138"/>
    <x v="146"/>
    <x v="182"/>
  </r>
  <r>
    <x v="0"/>
    <x v="5"/>
    <x v="2"/>
    <x v="130"/>
    <x v="141"/>
    <x v="139"/>
    <x v="142"/>
    <x v="119"/>
    <x v="154"/>
    <x v="170"/>
    <x v="163"/>
    <x v="140"/>
    <x v="115"/>
    <x v="128"/>
    <x v="161"/>
    <x v="138"/>
    <x v="183"/>
    <x v="166"/>
    <x v="161"/>
    <x v="154"/>
    <x v="158"/>
    <x v="175"/>
    <x v="60"/>
    <x v="148"/>
    <x v="128"/>
    <x v="170"/>
    <x v="110"/>
    <x v="136"/>
    <x v="151"/>
    <x v="154"/>
    <x v="152"/>
    <x v="153"/>
    <x v="139"/>
    <x v="147"/>
    <x v="183"/>
  </r>
  <r>
    <x v="1"/>
    <x v="5"/>
    <x v="2"/>
    <x v="131"/>
    <x v="128"/>
    <x v="140"/>
    <x v="144"/>
    <x v="123"/>
    <x v="107"/>
    <x v="75"/>
    <x v="48"/>
    <x v="141"/>
    <x v="151"/>
    <x v="100"/>
    <x v="162"/>
    <x v="139"/>
    <x v="184"/>
    <x v="167"/>
    <x v="162"/>
    <x v="155"/>
    <x v="159"/>
    <x v="176"/>
    <x v="60"/>
    <x v="150"/>
    <x v="134"/>
    <x v="171"/>
    <x v="76"/>
    <x v="121"/>
    <x v="152"/>
    <x v="155"/>
    <x v="153"/>
    <x v="154"/>
    <x v="140"/>
    <x v="145"/>
    <x v="184"/>
  </r>
  <r>
    <x v="2"/>
    <x v="5"/>
    <x v="2"/>
    <x v="132"/>
    <x v="142"/>
    <x v="141"/>
    <x v="146"/>
    <x v="113"/>
    <x v="155"/>
    <x v="171"/>
    <x v="164"/>
    <x v="142"/>
    <x v="145"/>
    <x v="101"/>
    <x v="163"/>
    <x v="105"/>
    <x v="185"/>
    <x v="168"/>
    <x v="140"/>
    <x v="123"/>
    <x v="160"/>
    <x v="177"/>
    <x v="60"/>
    <x v="151"/>
    <x v="135"/>
    <x v="172"/>
    <x v="100"/>
    <x v="137"/>
    <x v="153"/>
    <x v="156"/>
    <x v="154"/>
    <x v="155"/>
    <x v="126"/>
    <x v="148"/>
    <x v="185"/>
  </r>
  <r>
    <x v="0"/>
    <x v="5"/>
    <x v="3"/>
    <x v="133"/>
    <x v="143"/>
    <x v="142"/>
    <x v="147"/>
    <x v="124"/>
    <x v="156"/>
    <x v="172"/>
    <x v="165"/>
    <x v="143"/>
    <x v="152"/>
    <x v="124"/>
    <x v="164"/>
    <x v="138"/>
    <x v="186"/>
    <x v="169"/>
    <x v="163"/>
    <x v="156"/>
    <x v="161"/>
    <x v="178"/>
    <x v="61"/>
    <x v="152"/>
    <x v="136"/>
    <x v="173"/>
    <x v="111"/>
    <x v="138"/>
    <x v="154"/>
    <x v="157"/>
    <x v="155"/>
    <x v="156"/>
    <x v="141"/>
    <x v="149"/>
    <x v="186"/>
  </r>
  <r>
    <x v="1"/>
    <x v="5"/>
    <x v="3"/>
    <x v="131"/>
    <x v="144"/>
    <x v="143"/>
    <x v="148"/>
    <x v="125"/>
    <x v="157"/>
    <x v="173"/>
    <x v="166"/>
    <x v="144"/>
    <x v="129"/>
    <x v="132"/>
    <x v="165"/>
    <x v="106"/>
    <x v="187"/>
    <x v="170"/>
    <x v="110"/>
    <x v="157"/>
    <x v="162"/>
    <x v="179"/>
    <x v="61"/>
    <x v="108"/>
    <x v="137"/>
    <x v="174"/>
    <x v="112"/>
    <x v="139"/>
    <x v="128"/>
    <x v="158"/>
    <x v="156"/>
    <x v="157"/>
    <x v="142"/>
    <x v="138"/>
    <x v="187"/>
  </r>
  <r>
    <x v="2"/>
    <x v="5"/>
    <x v="3"/>
    <x v="124"/>
    <x v="139"/>
    <x v="144"/>
    <x v="149"/>
    <x v="126"/>
    <x v="158"/>
    <x v="174"/>
    <x v="145"/>
    <x v="145"/>
    <x v="153"/>
    <x v="133"/>
    <x v="166"/>
    <x v="140"/>
    <x v="188"/>
    <x v="171"/>
    <x v="143"/>
    <x v="158"/>
    <x v="163"/>
    <x v="180"/>
    <x v="61"/>
    <x v="153"/>
    <x v="135"/>
    <x v="175"/>
    <x v="113"/>
    <x v="140"/>
    <x v="155"/>
    <x v="159"/>
    <x v="157"/>
    <x v="158"/>
    <x v="143"/>
    <x v="150"/>
    <x v="188"/>
  </r>
  <r>
    <x v="0"/>
    <x v="5"/>
    <x v="4"/>
    <x v="134"/>
    <x v="127"/>
    <x v="140"/>
    <x v="150"/>
    <x v="127"/>
    <x v="159"/>
    <x v="175"/>
    <x v="63"/>
    <x v="146"/>
    <x v="154"/>
    <x v="134"/>
    <x v="167"/>
    <x v="141"/>
    <x v="189"/>
    <x v="159"/>
    <x v="164"/>
    <x v="159"/>
    <x v="164"/>
    <x v="181"/>
    <x v="62"/>
    <x v="154"/>
    <x v="138"/>
    <x v="176"/>
    <x v="114"/>
    <x v="141"/>
    <x v="156"/>
    <x v="160"/>
    <x v="158"/>
    <x v="159"/>
    <x v="144"/>
    <x v="139"/>
    <x v="189"/>
  </r>
  <r>
    <x v="1"/>
    <x v="5"/>
    <x v="4"/>
    <x v="131"/>
    <x v="145"/>
    <x v="102"/>
    <x v="151"/>
    <x v="91"/>
    <x v="160"/>
    <x v="76"/>
    <x v="38"/>
    <x v="147"/>
    <x v="132"/>
    <x v="102"/>
    <x v="144"/>
    <x v="142"/>
    <x v="190"/>
    <x v="172"/>
    <x v="165"/>
    <x v="160"/>
    <x v="137"/>
    <x v="117"/>
    <x v="62"/>
    <x v="155"/>
    <x v="139"/>
    <x v="177"/>
    <x v="87"/>
    <x v="126"/>
    <x v="157"/>
    <x v="138"/>
    <x v="159"/>
    <x v="160"/>
    <x v="145"/>
    <x v="132"/>
    <x v="190"/>
  </r>
  <r>
    <x v="2"/>
    <x v="5"/>
    <x v="4"/>
    <x v="127"/>
    <x v="146"/>
    <x v="145"/>
    <x v="152"/>
    <x v="126"/>
    <x v="161"/>
    <x v="81"/>
    <x v="167"/>
    <x v="148"/>
    <x v="121"/>
    <x v="135"/>
    <x v="158"/>
    <x v="143"/>
    <x v="137"/>
    <x v="173"/>
    <x v="166"/>
    <x v="161"/>
    <x v="165"/>
    <x v="182"/>
    <x v="62"/>
    <x v="156"/>
    <x v="140"/>
    <x v="178"/>
    <x v="115"/>
    <x v="142"/>
    <x v="145"/>
    <x v="161"/>
    <x v="160"/>
    <x v="161"/>
    <x v="146"/>
    <x v="130"/>
    <x v="191"/>
  </r>
  <r>
    <x v="0"/>
    <x v="5"/>
    <x v="5"/>
    <x v="135"/>
    <x v="147"/>
    <x v="146"/>
    <x v="153"/>
    <x v="128"/>
    <x v="162"/>
    <x v="176"/>
    <x v="168"/>
    <x v="149"/>
    <x v="155"/>
    <x v="136"/>
    <x v="167"/>
    <x v="144"/>
    <x v="191"/>
    <x v="174"/>
    <x v="167"/>
    <x v="162"/>
    <x v="166"/>
    <x v="183"/>
    <x v="63"/>
    <x v="157"/>
    <x v="141"/>
    <x v="179"/>
    <x v="116"/>
    <x v="143"/>
    <x v="156"/>
    <x v="162"/>
    <x v="161"/>
    <x v="162"/>
    <x v="147"/>
    <x v="151"/>
    <x v="192"/>
  </r>
  <r>
    <x v="1"/>
    <x v="5"/>
    <x v="5"/>
    <x v="121"/>
    <x v="148"/>
    <x v="144"/>
    <x v="139"/>
    <x v="125"/>
    <x v="163"/>
    <x v="177"/>
    <x v="169"/>
    <x v="150"/>
    <x v="156"/>
    <x v="137"/>
    <x v="155"/>
    <x v="102"/>
    <x v="192"/>
    <x v="175"/>
    <x v="168"/>
    <x v="163"/>
    <x v="167"/>
    <x v="184"/>
    <x v="63"/>
    <x v="158"/>
    <x v="142"/>
    <x v="180"/>
    <x v="117"/>
    <x v="137"/>
    <x v="141"/>
    <x v="163"/>
    <x v="162"/>
    <x v="163"/>
    <x v="148"/>
    <x v="127"/>
    <x v="193"/>
  </r>
  <r>
    <x v="2"/>
    <x v="5"/>
    <x v="5"/>
    <x v="136"/>
    <x v="124"/>
    <x v="147"/>
    <x v="154"/>
    <x v="107"/>
    <x v="164"/>
    <x v="178"/>
    <x v="170"/>
    <x v="88"/>
    <x v="157"/>
    <x v="113"/>
    <x v="156"/>
    <x v="145"/>
    <x v="193"/>
    <x v="176"/>
    <x v="169"/>
    <x v="132"/>
    <x v="147"/>
    <x v="185"/>
    <x v="63"/>
    <x v="136"/>
    <x v="125"/>
    <x v="181"/>
    <x v="118"/>
    <x v="144"/>
    <x v="148"/>
    <x v="164"/>
    <x v="163"/>
    <x v="164"/>
    <x v="149"/>
    <x v="144"/>
    <x v="194"/>
  </r>
  <r>
    <x v="0"/>
    <x v="5"/>
    <x v="6"/>
    <x v="137"/>
    <x v="149"/>
    <x v="148"/>
    <x v="155"/>
    <x v="129"/>
    <x v="165"/>
    <x v="179"/>
    <x v="171"/>
    <x v="151"/>
    <x v="153"/>
    <x v="136"/>
    <x v="168"/>
    <x v="146"/>
    <x v="194"/>
    <x v="169"/>
    <x v="170"/>
    <x v="164"/>
    <x v="168"/>
    <x v="186"/>
    <x v="64"/>
    <x v="159"/>
    <x v="143"/>
    <x v="182"/>
    <x v="119"/>
    <x v="143"/>
    <x v="158"/>
    <x v="165"/>
    <x v="164"/>
    <x v="165"/>
    <x v="150"/>
    <x v="152"/>
    <x v="195"/>
  </r>
  <r>
    <x v="1"/>
    <x v="5"/>
    <x v="6"/>
    <x v="138"/>
    <x v="150"/>
    <x v="149"/>
    <x v="141"/>
    <x v="130"/>
    <x v="166"/>
    <x v="180"/>
    <x v="35"/>
    <x v="146"/>
    <x v="158"/>
    <x v="138"/>
    <x v="169"/>
    <x v="147"/>
    <x v="195"/>
    <x v="177"/>
    <x v="116"/>
    <x v="93"/>
    <x v="169"/>
    <x v="187"/>
    <x v="64"/>
    <x v="118"/>
    <x v="144"/>
    <x v="183"/>
    <x v="120"/>
    <x v="137"/>
    <x v="159"/>
    <x v="166"/>
    <x v="165"/>
    <x v="148"/>
    <x v="151"/>
    <x v="153"/>
    <x v="196"/>
  </r>
  <r>
    <x v="2"/>
    <x v="5"/>
    <x v="6"/>
    <x v="139"/>
    <x v="151"/>
    <x v="150"/>
    <x v="156"/>
    <x v="114"/>
    <x v="167"/>
    <x v="181"/>
    <x v="172"/>
    <x v="152"/>
    <x v="159"/>
    <x v="113"/>
    <x v="170"/>
    <x v="148"/>
    <x v="196"/>
    <x v="178"/>
    <x v="171"/>
    <x v="165"/>
    <x v="170"/>
    <x v="188"/>
    <x v="64"/>
    <x v="160"/>
    <x v="145"/>
    <x v="184"/>
    <x v="121"/>
    <x v="144"/>
    <x v="160"/>
    <x v="167"/>
    <x v="166"/>
    <x v="166"/>
    <x v="152"/>
    <x v="139"/>
    <x v="197"/>
  </r>
  <r>
    <x v="0"/>
    <x v="5"/>
    <x v="7"/>
    <x v="140"/>
    <x v="152"/>
    <x v="149"/>
    <x v="157"/>
    <x v="131"/>
    <x v="168"/>
    <x v="182"/>
    <x v="173"/>
    <x v="103"/>
    <x v="97"/>
    <x v="139"/>
    <x v="171"/>
    <x v="149"/>
    <x v="197"/>
    <x v="179"/>
    <x v="172"/>
    <x v="166"/>
    <x v="171"/>
    <x v="189"/>
    <x v="65"/>
    <x v="161"/>
    <x v="146"/>
    <x v="185"/>
    <x v="122"/>
    <x v="145"/>
    <x v="161"/>
    <x v="168"/>
    <x v="167"/>
    <x v="167"/>
    <x v="153"/>
    <x v="154"/>
    <x v="198"/>
  </r>
  <r>
    <x v="1"/>
    <x v="5"/>
    <x v="7"/>
    <x v="141"/>
    <x v="153"/>
    <x v="98"/>
    <x v="146"/>
    <x v="132"/>
    <x v="169"/>
    <x v="183"/>
    <x v="174"/>
    <x v="94"/>
    <x v="160"/>
    <x v="112"/>
    <x v="163"/>
    <x v="130"/>
    <x v="198"/>
    <x v="180"/>
    <x v="173"/>
    <x v="167"/>
    <x v="144"/>
    <x v="190"/>
    <x v="65"/>
    <x v="143"/>
    <x v="98"/>
    <x v="186"/>
    <x v="123"/>
    <x v="146"/>
    <x v="162"/>
    <x v="169"/>
    <x v="168"/>
    <x v="133"/>
    <x v="154"/>
    <x v="155"/>
    <x v="199"/>
  </r>
  <r>
    <x v="2"/>
    <x v="5"/>
    <x v="7"/>
    <x v="142"/>
    <x v="154"/>
    <x v="151"/>
    <x v="158"/>
    <x v="133"/>
    <x v="170"/>
    <x v="155"/>
    <x v="64"/>
    <x v="153"/>
    <x v="161"/>
    <x v="126"/>
    <x v="172"/>
    <x v="150"/>
    <x v="199"/>
    <x v="173"/>
    <x v="174"/>
    <x v="168"/>
    <x v="172"/>
    <x v="191"/>
    <x v="65"/>
    <x v="141"/>
    <x v="147"/>
    <x v="187"/>
    <x v="124"/>
    <x v="144"/>
    <x v="163"/>
    <x v="170"/>
    <x v="169"/>
    <x v="168"/>
    <x v="155"/>
    <x v="156"/>
    <x v="200"/>
  </r>
  <r>
    <x v="0"/>
    <x v="5"/>
    <x v="8"/>
    <x v="143"/>
    <x v="155"/>
    <x v="98"/>
    <x v="159"/>
    <x v="134"/>
    <x v="157"/>
    <x v="184"/>
    <x v="175"/>
    <x v="107"/>
    <x v="135"/>
    <x v="140"/>
    <x v="173"/>
    <x v="151"/>
    <x v="200"/>
    <x v="161"/>
    <x v="172"/>
    <x v="169"/>
    <x v="171"/>
    <x v="192"/>
    <x v="66"/>
    <x v="162"/>
    <x v="148"/>
    <x v="188"/>
    <x v="125"/>
    <x v="147"/>
    <x v="164"/>
    <x v="171"/>
    <x v="170"/>
    <x v="169"/>
    <x v="156"/>
    <x v="157"/>
    <x v="201"/>
  </r>
  <r>
    <x v="1"/>
    <x v="5"/>
    <x v="8"/>
    <x v="144"/>
    <x v="128"/>
    <x v="152"/>
    <x v="135"/>
    <x v="75"/>
    <x v="171"/>
    <x v="185"/>
    <x v="176"/>
    <x v="154"/>
    <x v="162"/>
    <x v="141"/>
    <x v="174"/>
    <x v="152"/>
    <x v="201"/>
    <x v="181"/>
    <x v="175"/>
    <x v="117"/>
    <x v="173"/>
    <x v="193"/>
    <x v="66"/>
    <x v="125"/>
    <x v="149"/>
    <x v="189"/>
    <x v="126"/>
    <x v="136"/>
    <x v="165"/>
    <x v="151"/>
    <x v="171"/>
    <x v="170"/>
    <x v="132"/>
    <x v="158"/>
    <x v="202"/>
  </r>
  <r>
    <x v="2"/>
    <x v="5"/>
    <x v="8"/>
    <x v="145"/>
    <x v="156"/>
    <x v="153"/>
    <x v="150"/>
    <x v="103"/>
    <x v="172"/>
    <x v="186"/>
    <x v="170"/>
    <x v="145"/>
    <x v="100"/>
    <x v="142"/>
    <x v="164"/>
    <x v="128"/>
    <x v="202"/>
    <x v="170"/>
    <x v="176"/>
    <x v="170"/>
    <x v="174"/>
    <x v="194"/>
    <x v="66"/>
    <x v="163"/>
    <x v="130"/>
    <x v="190"/>
    <x v="127"/>
    <x v="148"/>
    <x v="156"/>
    <x v="172"/>
    <x v="172"/>
    <x v="171"/>
    <x v="157"/>
    <x v="159"/>
    <x v="203"/>
  </r>
  <r>
    <x v="0"/>
    <x v="5"/>
    <x v="9"/>
    <x v="146"/>
    <x v="157"/>
    <x v="154"/>
    <x v="140"/>
    <x v="124"/>
    <x v="173"/>
    <x v="187"/>
    <x v="170"/>
    <x v="154"/>
    <x v="100"/>
    <x v="143"/>
    <x v="171"/>
    <x v="153"/>
    <x v="203"/>
    <x v="182"/>
    <x v="177"/>
    <x v="171"/>
    <x v="164"/>
    <x v="195"/>
    <x v="67"/>
    <x v="164"/>
    <x v="150"/>
    <x v="191"/>
    <x v="128"/>
    <x v="149"/>
    <x v="166"/>
    <x v="173"/>
    <x v="173"/>
    <x v="172"/>
    <x v="158"/>
    <x v="160"/>
    <x v="204"/>
  </r>
  <r>
    <x v="1"/>
    <x v="5"/>
    <x v="9"/>
    <x v="135"/>
    <x v="158"/>
    <x v="155"/>
    <x v="135"/>
    <x v="99"/>
    <x v="174"/>
    <x v="188"/>
    <x v="40"/>
    <x v="155"/>
    <x v="160"/>
    <x v="114"/>
    <x v="175"/>
    <x v="145"/>
    <x v="204"/>
    <x v="183"/>
    <x v="178"/>
    <x v="95"/>
    <x v="125"/>
    <x v="196"/>
    <x v="67"/>
    <x v="165"/>
    <x v="151"/>
    <x v="192"/>
    <x v="108"/>
    <x v="138"/>
    <x v="148"/>
    <x v="174"/>
    <x v="174"/>
    <x v="173"/>
    <x v="136"/>
    <x v="161"/>
    <x v="205"/>
  </r>
  <r>
    <x v="2"/>
    <x v="5"/>
    <x v="9"/>
    <x v="134"/>
    <x v="159"/>
    <x v="156"/>
    <x v="140"/>
    <x v="97"/>
    <x v="175"/>
    <x v="84"/>
    <x v="58"/>
    <x v="156"/>
    <x v="163"/>
    <x v="144"/>
    <x v="176"/>
    <x v="129"/>
    <x v="205"/>
    <x v="184"/>
    <x v="154"/>
    <x v="135"/>
    <x v="175"/>
    <x v="162"/>
    <x v="68"/>
    <x v="157"/>
    <x v="152"/>
    <x v="193"/>
    <x v="129"/>
    <x v="147"/>
    <x v="167"/>
    <x v="175"/>
    <x v="175"/>
    <x v="174"/>
    <x v="159"/>
    <x v="162"/>
    <x v="206"/>
  </r>
  <r>
    <x v="0"/>
    <x v="5"/>
    <x v="11"/>
    <x v="133"/>
    <x v="160"/>
    <x v="146"/>
    <x v="140"/>
    <x v="135"/>
    <x v="134"/>
    <x v="189"/>
    <x v="177"/>
    <x v="157"/>
    <x v="164"/>
    <x v="145"/>
    <x v="177"/>
    <x v="144"/>
    <x v="206"/>
    <x v="185"/>
    <x v="179"/>
    <x v="172"/>
    <x v="176"/>
    <x v="197"/>
    <x v="68"/>
    <x v="166"/>
    <x v="153"/>
    <x v="194"/>
    <x v="130"/>
    <x v="150"/>
    <x v="168"/>
    <x v="176"/>
    <x v="176"/>
    <x v="175"/>
    <x v="160"/>
    <x v="163"/>
    <x v="207"/>
  </r>
  <r>
    <x v="1"/>
    <x v="5"/>
    <x v="11"/>
    <x v="147"/>
    <x v="161"/>
    <x v="157"/>
    <x v="149"/>
    <x v="110"/>
    <x v="143"/>
    <x v="190"/>
    <x v="178"/>
    <x v="158"/>
    <x v="165"/>
    <x v="146"/>
    <x v="178"/>
    <x v="141"/>
    <x v="207"/>
    <x v="186"/>
    <x v="133"/>
    <x v="97"/>
    <x v="177"/>
    <x v="198"/>
    <x v="68"/>
    <x v="167"/>
    <x v="133"/>
    <x v="195"/>
    <x v="98"/>
    <x v="151"/>
    <x v="169"/>
    <x v="177"/>
    <x v="177"/>
    <x v="158"/>
    <x v="161"/>
    <x v="164"/>
    <x v="208"/>
  </r>
  <r>
    <x v="2"/>
    <x v="5"/>
    <x v="11"/>
    <x v="134"/>
    <x v="162"/>
    <x v="158"/>
    <x v="160"/>
    <x v="97"/>
    <x v="176"/>
    <x v="84"/>
    <x v="58"/>
    <x v="156"/>
    <x v="166"/>
    <x v="147"/>
    <x v="176"/>
    <x v="129"/>
    <x v="208"/>
    <x v="184"/>
    <x v="154"/>
    <x v="170"/>
    <x v="178"/>
    <x v="199"/>
    <x v="68"/>
    <x v="157"/>
    <x v="141"/>
    <x v="196"/>
    <x v="129"/>
    <x v="147"/>
    <x v="167"/>
    <x v="175"/>
    <x v="175"/>
    <x v="174"/>
    <x v="159"/>
    <x v="162"/>
    <x v="209"/>
  </r>
  <r>
    <x v="0"/>
    <x v="5"/>
    <x v="12"/>
    <x v="133"/>
    <x v="163"/>
    <x v="159"/>
    <x v="147"/>
    <x v="136"/>
    <x v="110"/>
    <x v="191"/>
    <x v="61"/>
    <x v="92"/>
    <x v="129"/>
    <x v="148"/>
    <x v="179"/>
    <x v="123"/>
    <x v="209"/>
    <x v="187"/>
    <x v="180"/>
    <x v="173"/>
    <x v="176"/>
    <x v="200"/>
    <x v="69"/>
    <x v="168"/>
    <x v="148"/>
    <x v="197"/>
    <x v="131"/>
    <x v="152"/>
    <x v="170"/>
    <x v="178"/>
    <x v="178"/>
    <x v="176"/>
    <x v="162"/>
    <x v="165"/>
    <x v="210"/>
  </r>
  <r>
    <x v="1"/>
    <x v="5"/>
    <x v="12"/>
    <x v="148"/>
    <x v="164"/>
    <x v="160"/>
    <x v="149"/>
    <x v="110"/>
    <x v="107"/>
    <x v="192"/>
    <x v="179"/>
    <x v="159"/>
    <x v="111"/>
    <x v="93"/>
    <x v="180"/>
    <x v="100"/>
    <x v="210"/>
    <x v="188"/>
    <x v="181"/>
    <x v="122"/>
    <x v="132"/>
    <x v="201"/>
    <x v="69"/>
    <x v="169"/>
    <x v="154"/>
    <x v="198"/>
    <x v="132"/>
    <x v="153"/>
    <x v="171"/>
    <x v="179"/>
    <x v="179"/>
    <x v="177"/>
    <x v="130"/>
    <x v="155"/>
    <x v="211"/>
  </r>
  <r>
    <x v="2"/>
    <x v="5"/>
    <x v="12"/>
    <x v="139"/>
    <x v="165"/>
    <x v="161"/>
    <x v="152"/>
    <x v="101"/>
    <x v="135"/>
    <x v="83"/>
    <x v="155"/>
    <x v="93"/>
    <x v="164"/>
    <x v="139"/>
    <x v="181"/>
    <x v="98"/>
    <x v="211"/>
    <x v="189"/>
    <x v="182"/>
    <x v="174"/>
    <x v="175"/>
    <x v="202"/>
    <x v="69"/>
    <x v="170"/>
    <x v="155"/>
    <x v="199"/>
    <x v="121"/>
    <x v="154"/>
    <x v="172"/>
    <x v="180"/>
    <x v="180"/>
    <x v="159"/>
    <x v="163"/>
    <x v="166"/>
    <x v="212"/>
  </r>
  <r>
    <x v="0"/>
    <x v="6"/>
    <x v="0"/>
    <x v="127"/>
    <x v="166"/>
    <x v="162"/>
    <x v="147"/>
    <x v="137"/>
    <x v="105"/>
    <x v="193"/>
    <x v="180"/>
    <x v="150"/>
    <x v="159"/>
    <x v="149"/>
    <x v="182"/>
    <x v="108"/>
    <x v="212"/>
    <x v="190"/>
    <x v="183"/>
    <x v="164"/>
    <x v="179"/>
    <x v="203"/>
    <x v="70"/>
    <x v="171"/>
    <x v="156"/>
    <x v="200"/>
    <x v="133"/>
    <x v="155"/>
    <x v="170"/>
    <x v="181"/>
    <x v="181"/>
    <x v="178"/>
    <x v="164"/>
    <x v="167"/>
    <x v="213"/>
  </r>
  <r>
    <x v="1"/>
    <x v="6"/>
    <x v="0"/>
    <x v="142"/>
    <x v="167"/>
    <x v="163"/>
    <x v="161"/>
    <x v="110"/>
    <x v="130"/>
    <x v="194"/>
    <x v="181"/>
    <x v="160"/>
    <x v="109"/>
    <x v="93"/>
    <x v="183"/>
    <x v="154"/>
    <x v="213"/>
    <x v="191"/>
    <x v="153"/>
    <x v="175"/>
    <x v="180"/>
    <x v="161"/>
    <x v="70"/>
    <x v="172"/>
    <x v="157"/>
    <x v="201"/>
    <x v="81"/>
    <x v="156"/>
    <x v="173"/>
    <x v="182"/>
    <x v="182"/>
    <x v="179"/>
    <x v="165"/>
    <x v="155"/>
    <x v="214"/>
  </r>
  <r>
    <x v="2"/>
    <x v="6"/>
    <x v="0"/>
    <x v="133"/>
    <x v="168"/>
    <x v="164"/>
    <x v="152"/>
    <x v="138"/>
    <x v="177"/>
    <x v="195"/>
    <x v="182"/>
    <x v="85"/>
    <x v="161"/>
    <x v="150"/>
    <x v="181"/>
    <x v="108"/>
    <x v="214"/>
    <x v="192"/>
    <x v="184"/>
    <x v="176"/>
    <x v="181"/>
    <x v="204"/>
    <x v="70"/>
    <x v="173"/>
    <x v="158"/>
    <x v="202"/>
    <x v="108"/>
    <x v="157"/>
    <x v="174"/>
    <x v="183"/>
    <x v="176"/>
    <x v="180"/>
    <x v="166"/>
    <x v="168"/>
    <x v="215"/>
  </r>
  <r>
    <x v="0"/>
    <x v="6"/>
    <x v="1"/>
    <x v="130"/>
    <x v="169"/>
    <x v="149"/>
    <x v="156"/>
    <x v="129"/>
    <x v="111"/>
    <x v="196"/>
    <x v="65"/>
    <x v="161"/>
    <x v="167"/>
    <x v="151"/>
    <x v="184"/>
    <x v="105"/>
    <x v="137"/>
    <x v="193"/>
    <x v="185"/>
    <x v="169"/>
    <x v="179"/>
    <x v="205"/>
    <x v="71"/>
    <x v="171"/>
    <x v="152"/>
    <x v="203"/>
    <x v="134"/>
    <x v="158"/>
    <x v="175"/>
    <x v="184"/>
    <x v="183"/>
    <x v="181"/>
    <x v="167"/>
    <x v="167"/>
    <x v="216"/>
  </r>
  <r>
    <x v="1"/>
    <x v="6"/>
    <x v="1"/>
    <x v="143"/>
    <x v="170"/>
    <x v="165"/>
    <x v="161"/>
    <x v="108"/>
    <x v="108"/>
    <x v="197"/>
    <x v="62"/>
    <x v="160"/>
    <x v="168"/>
    <x v="152"/>
    <x v="185"/>
    <x v="103"/>
    <x v="215"/>
    <x v="194"/>
    <x v="186"/>
    <x v="177"/>
    <x v="182"/>
    <x v="206"/>
    <x v="71"/>
    <x v="153"/>
    <x v="159"/>
    <x v="204"/>
    <x v="90"/>
    <x v="159"/>
    <x v="176"/>
    <x v="185"/>
    <x v="182"/>
    <x v="182"/>
    <x v="168"/>
    <x v="169"/>
    <x v="217"/>
  </r>
  <r>
    <x v="2"/>
    <x v="6"/>
    <x v="1"/>
    <x v="135"/>
    <x v="171"/>
    <x v="166"/>
    <x v="162"/>
    <x v="101"/>
    <x v="145"/>
    <x v="198"/>
    <x v="177"/>
    <x v="162"/>
    <x v="103"/>
    <x v="144"/>
    <x v="186"/>
    <x v="140"/>
    <x v="188"/>
    <x v="195"/>
    <x v="176"/>
    <x v="137"/>
    <x v="174"/>
    <x v="207"/>
    <x v="71"/>
    <x v="174"/>
    <x v="160"/>
    <x v="205"/>
    <x v="135"/>
    <x v="160"/>
    <x v="177"/>
    <x v="186"/>
    <x v="184"/>
    <x v="183"/>
    <x v="156"/>
    <x v="170"/>
    <x v="218"/>
  </r>
  <r>
    <x v="0"/>
    <x v="6"/>
    <x v="2"/>
    <x v="136"/>
    <x v="172"/>
    <x v="167"/>
    <x v="156"/>
    <x v="129"/>
    <x v="113"/>
    <x v="72"/>
    <x v="167"/>
    <x v="161"/>
    <x v="159"/>
    <x v="151"/>
    <x v="187"/>
    <x v="154"/>
    <x v="216"/>
    <x v="196"/>
    <x v="164"/>
    <x v="169"/>
    <x v="183"/>
    <x v="208"/>
    <x v="72"/>
    <x v="175"/>
    <x v="161"/>
    <x v="206"/>
    <x v="125"/>
    <x v="161"/>
    <x v="178"/>
    <x v="187"/>
    <x v="183"/>
    <x v="184"/>
    <x v="169"/>
    <x v="171"/>
    <x v="219"/>
  </r>
  <r>
    <x v="1"/>
    <x v="6"/>
    <x v="2"/>
    <x v="149"/>
    <x v="173"/>
    <x v="129"/>
    <x v="140"/>
    <x v="108"/>
    <x v="135"/>
    <x v="199"/>
    <x v="183"/>
    <x v="160"/>
    <x v="151"/>
    <x v="118"/>
    <x v="188"/>
    <x v="127"/>
    <x v="217"/>
    <x v="197"/>
    <x v="158"/>
    <x v="178"/>
    <x v="135"/>
    <x v="209"/>
    <x v="72"/>
    <x v="176"/>
    <x v="118"/>
    <x v="207"/>
    <x v="136"/>
    <x v="162"/>
    <x v="179"/>
    <x v="188"/>
    <x v="185"/>
    <x v="141"/>
    <x v="170"/>
    <x v="172"/>
    <x v="220"/>
  </r>
  <r>
    <x v="2"/>
    <x v="6"/>
    <x v="2"/>
    <x v="150"/>
    <x v="169"/>
    <x v="138"/>
    <x v="154"/>
    <x v="101"/>
    <x v="178"/>
    <x v="174"/>
    <x v="184"/>
    <x v="162"/>
    <x v="100"/>
    <x v="153"/>
    <x v="171"/>
    <x v="143"/>
    <x v="133"/>
    <x v="198"/>
    <x v="187"/>
    <x v="179"/>
    <x v="178"/>
    <x v="210"/>
    <x v="72"/>
    <x v="161"/>
    <x v="145"/>
    <x v="208"/>
    <x v="110"/>
    <x v="163"/>
    <x v="180"/>
    <x v="189"/>
    <x v="184"/>
    <x v="185"/>
    <x v="171"/>
    <x v="156"/>
    <x v="221"/>
  </r>
  <r>
    <x v="0"/>
    <x v="6"/>
    <x v="4"/>
    <x v="134"/>
    <x v="174"/>
    <x v="168"/>
    <x v="158"/>
    <x v="128"/>
    <x v="179"/>
    <x v="200"/>
    <x v="60"/>
    <x v="163"/>
    <x v="125"/>
    <x v="154"/>
    <x v="187"/>
    <x v="135"/>
    <x v="218"/>
    <x v="181"/>
    <x v="167"/>
    <x v="180"/>
    <x v="184"/>
    <x v="211"/>
    <x v="73"/>
    <x v="168"/>
    <x v="162"/>
    <x v="209"/>
    <x v="137"/>
    <x v="164"/>
    <x v="181"/>
    <x v="190"/>
    <x v="186"/>
    <x v="186"/>
    <x v="172"/>
    <x v="163"/>
    <x v="222"/>
  </r>
  <r>
    <x v="1"/>
    <x v="6"/>
    <x v="4"/>
    <x v="151"/>
    <x v="175"/>
    <x v="141"/>
    <x v="147"/>
    <x v="89"/>
    <x v="166"/>
    <x v="201"/>
    <x v="185"/>
    <x v="164"/>
    <x v="163"/>
    <x v="155"/>
    <x v="176"/>
    <x v="155"/>
    <x v="124"/>
    <x v="199"/>
    <x v="188"/>
    <x v="131"/>
    <x v="185"/>
    <x v="212"/>
    <x v="73"/>
    <x v="177"/>
    <x v="115"/>
    <x v="210"/>
    <x v="120"/>
    <x v="165"/>
    <x v="182"/>
    <x v="191"/>
    <x v="173"/>
    <x v="187"/>
    <x v="139"/>
    <x v="173"/>
    <x v="223"/>
  </r>
  <r>
    <x v="2"/>
    <x v="6"/>
    <x v="4"/>
    <x v="142"/>
    <x v="176"/>
    <x v="169"/>
    <x v="156"/>
    <x v="101"/>
    <x v="180"/>
    <x v="202"/>
    <x v="186"/>
    <x v="92"/>
    <x v="143"/>
    <x v="156"/>
    <x v="189"/>
    <x v="156"/>
    <x v="219"/>
    <x v="200"/>
    <x v="189"/>
    <x v="181"/>
    <x v="149"/>
    <x v="213"/>
    <x v="73"/>
    <x v="174"/>
    <x v="163"/>
    <x v="211"/>
    <x v="138"/>
    <x v="163"/>
    <x v="183"/>
    <x v="192"/>
    <x v="187"/>
    <x v="188"/>
    <x v="173"/>
    <x v="174"/>
    <x v="224"/>
  </r>
  <r>
    <x v="0"/>
    <x v="6"/>
    <x v="5"/>
    <x v="150"/>
    <x v="177"/>
    <x v="170"/>
    <x v="153"/>
    <x v="139"/>
    <x v="181"/>
    <x v="203"/>
    <x v="187"/>
    <x v="144"/>
    <x v="109"/>
    <x v="157"/>
    <x v="190"/>
    <x v="157"/>
    <x v="220"/>
    <x v="201"/>
    <x v="190"/>
    <x v="182"/>
    <x v="184"/>
    <x v="211"/>
    <x v="74"/>
    <x v="178"/>
    <x v="164"/>
    <x v="212"/>
    <x v="137"/>
    <x v="166"/>
    <x v="184"/>
    <x v="193"/>
    <x v="188"/>
    <x v="189"/>
    <x v="174"/>
    <x v="175"/>
    <x v="225"/>
  </r>
  <r>
    <x v="1"/>
    <x v="6"/>
    <x v="5"/>
    <x v="152"/>
    <x v="178"/>
    <x v="171"/>
    <x v="155"/>
    <x v="89"/>
    <x v="182"/>
    <x v="204"/>
    <x v="188"/>
    <x v="146"/>
    <x v="163"/>
    <x v="103"/>
    <x v="191"/>
    <x v="158"/>
    <x v="221"/>
    <x v="202"/>
    <x v="140"/>
    <x v="131"/>
    <x v="186"/>
    <x v="214"/>
    <x v="74"/>
    <x v="156"/>
    <x v="165"/>
    <x v="213"/>
    <x v="139"/>
    <x v="167"/>
    <x v="185"/>
    <x v="194"/>
    <x v="189"/>
    <x v="149"/>
    <x v="175"/>
    <x v="157"/>
    <x v="226"/>
  </r>
  <r>
    <x v="2"/>
    <x v="6"/>
    <x v="5"/>
    <x v="153"/>
    <x v="179"/>
    <x v="157"/>
    <x v="163"/>
    <x v="133"/>
    <x v="183"/>
    <x v="166"/>
    <x v="189"/>
    <x v="159"/>
    <x v="164"/>
    <x v="158"/>
    <x v="173"/>
    <x v="149"/>
    <x v="222"/>
    <x v="194"/>
    <x v="191"/>
    <x v="181"/>
    <x v="187"/>
    <x v="215"/>
    <x v="74"/>
    <x v="161"/>
    <x v="166"/>
    <x v="193"/>
    <x v="110"/>
    <x v="168"/>
    <x v="186"/>
    <x v="195"/>
    <x v="190"/>
    <x v="190"/>
    <x v="176"/>
    <x v="176"/>
    <x v="227"/>
  </r>
  <r>
    <x v="0"/>
    <x v="6"/>
    <x v="6"/>
    <x v="137"/>
    <x v="180"/>
    <x v="172"/>
    <x v="164"/>
    <x v="140"/>
    <x v="184"/>
    <x v="51"/>
    <x v="190"/>
    <x v="165"/>
    <x v="169"/>
    <x v="159"/>
    <x v="192"/>
    <x v="159"/>
    <x v="223"/>
    <x v="203"/>
    <x v="180"/>
    <x v="180"/>
    <x v="188"/>
    <x v="216"/>
    <x v="75"/>
    <x v="175"/>
    <x v="143"/>
    <x v="214"/>
    <x v="140"/>
    <x v="169"/>
    <x v="187"/>
    <x v="196"/>
    <x v="191"/>
    <x v="191"/>
    <x v="177"/>
    <x v="177"/>
    <x v="228"/>
  </r>
  <r>
    <x v="1"/>
    <x v="6"/>
    <x v="6"/>
    <x v="154"/>
    <x v="181"/>
    <x v="173"/>
    <x v="165"/>
    <x v="141"/>
    <x v="185"/>
    <x v="205"/>
    <x v="191"/>
    <x v="146"/>
    <x v="170"/>
    <x v="160"/>
    <x v="193"/>
    <x v="160"/>
    <x v="224"/>
    <x v="204"/>
    <x v="192"/>
    <x v="183"/>
    <x v="189"/>
    <x v="217"/>
    <x v="75"/>
    <x v="179"/>
    <x v="83"/>
    <x v="215"/>
    <x v="141"/>
    <x v="170"/>
    <x v="188"/>
    <x v="197"/>
    <x v="192"/>
    <x v="192"/>
    <x v="178"/>
    <x v="178"/>
    <x v="229"/>
  </r>
  <r>
    <x v="2"/>
    <x v="6"/>
    <x v="6"/>
    <x v="146"/>
    <x v="182"/>
    <x v="139"/>
    <x v="166"/>
    <x v="142"/>
    <x v="186"/>
    <x v="206"/>
    <x v="192"/>
    <x v="88"/>
    <x v="169"/>
    <x v="161"/>
    <x v="184"/>
    <x v="161"/>
    <x v="225"/>
    <x v="205"/>
    <x v="193"/>
    <x v="184"/>
    <x v="190"/>
    <x v="164"/>
    <x v="75"/>
    <x v="180"/>
    <x v="167"/>
    <x v="211"/>
    <x v="142"/>
    <x v="171"/>
    <x v="189"/>
    <x v="198"/>
    <x v="193"/>
    <x v="193"/>
    <x v="179"/>
    <x v="179"/>
    <x v="230"/>
  </r>
  <r>
    <x v="0"/>
    <x v="6"/>
    <x v="7"/>
    <x v="140"/>
    <x v="183"/>
    <x v="158"/>
    <x v="167"/>
    <x v="143"/>
    <x v="138"/>
    <x v="207"/>
    <x v="137"/>
    <x v="166"/>
    <x v="171"/>
    <x v="159"/>
    <x v="194"/>
    <x v="162"/>
    <x v="226"/>
    <x v="206"/>
    <x v="194"/>
    <x v="180"/>
    <x v="191"/>
    <x v="192"/>
    <x v="76"/>
    <x v="181"/>
    <x v="161"/>
    <x v="216"/>
    <x v="143"/>
    <x v="172"/>
    <x v="190"/>
    <x v="199"/>
    <x v="194"/>
    <x v="194"/>
    <x v="180"/>
    <x v="180"/>
    <x v="231"/>
  </r>
  <r>
    <x v="1"/>
    <x v="6"/>
    <x v="7"/>
    <x v="155"/>
    <x v="184"/>
    <x v="174"/>
    <x v="168"/>
    <x v="92"/>
    <x v="187"/>
    <x v="208"/>
    <x v="193"/>
    <x v="167"/>
    <x v="172"/>
    <x v="108"/>
    <x v="184"/>
    <x v="163"/>
    <x v="227"/>
    <x v="207"/>
    <x v="195"/>
    <x v="106"/>
    <x v="192"/>
    <x v="169"/>
    <x v="76"/>
    <x v="182"/>
    <x v="168"/>
    <x v="217"/>
    <x v="144"/>
    <x v="173"/>
    <x v="191"/>
    <x v="200"/>
    <x v="195"/>
    <x v="195"/>
    <x v="181"/>
    <x v="179"/>
    <x v="232"/>
  </r>
  <r>
    <x v="2"/>
    <x v="6"/>
    <x v="7"/>
    <x v="156"/>
    <x v="185"/>
    <x v="175"/>
    <x v="169"/>
    <x v="120"/>
    <x v="152"/>
    <x v="209"/>
    <x v="194"/>
    <x v="91"/>
    <x v="137"/>
    <x v="162"/>
    <x v="190"/>
    <x v="164"/>
    <x v="228"/>
    <x v="208"/>
    <x v="196"/>
    <x v="140"/>
    <x v="193"/>
    <x v="218"/>
    <x v="76"/>
    <x v="183"/>
    <x v="169"/>
    <x v="218"/>
    <x v="145"/>
    <x v="174"/>
    <x v="192"/>
    <x v="201"/>
    <x v="196"/>
    <x v="196"/>
    <x v="182"/>
    <x v="181"/>
    <x v="233"/>
  </r>
  <r>
    <x v="0"/>
    <x v="6"/>
    <x v="8"/>
    <x v="156"/>
    <x v="183"/>
    <x v="141"/>
    <x v="170"/>
    <x v="144"/>
    <x v="188"/>
    <x v="210"/>
    <x v="195"/>
    <x v="155"/>
    <x v="173"/>
    <x v="159"/>
    <x v="195"/>
    <x v="165"/>
    <x v="229"/>
    <x v="209"/>
    <x v="179"/>
    <x v="180"/>
    <x v="194"/>
    <x v="219"/>
    <x v="77"/>
    <x v="184"/>
    <x v="162"/>
    <x v="219"/>
    <x v="146"/>
    <x v="175"/>
    <x v="193"/>
    <x v="202"/>
    <x v="197"/>
    <x v="197"/>
    <x v="183"/>
    <x v="182"/>
    <x v="234"/>
  </r>
  <r>
    <x v="1"/>
    <x v="6"/>
    <x v="8"/>
    <x v="157"/>
    <x v="186"/>
    <x v="176"/>
    <x v="168"/>
    <x v="96"/>
    <x v="189"/>
    <x v="211"/>
    <x v="196"/>
    <x v="168"/>
    <x v="174"/>
    <x v="110"/>
    <x v="187"/>
    <x v="166"/>
    <x v="230"/>
    <x v="210"/>
    <x v="143"/>
    <x v="106"/>
    <x v="195"/>
    <x v="146"/>
    <x v="77"/>
    <x v="185"/>
    <x v="106"/>
    <x v="220"/>
    <x v="98"/>
    <x v="176"/>
    <x v="194"/>
    <x v="203"/>
    <x v="187"/>
    <x v="198"/>
    <x v="184"/>
    <x v="183"/>
    <x v="235"/>
  </r>
  <r>
    <x v="2"/>
    <x v="6"/>
    <x v="8"/>
    <x v="158"/>
    <x v="187"/>
    <x v="177"/>
    <x v="171"/>
    <x v="124"/>
    <x v="190"/>
    <x v="157"/>
    <x v="197"/>
    <x v="169"/>
    <x v="175"/>
    <x v="163"/>
    <x v="196"/>
    <x v="167"/>
    <x v="231"/>
    <x v="211"/>
    <x v="161"/>
    <x v="140"/>
    <x v="193"/>
    <x v="220"/>
    <x v="77"/>
    <x v="186"/>
    <x v="170"/>
    <x v="221"/>
    <x v="147"/>
    <x v="177"/>
    <x v="195"/>
    <x v="204"/>
    <x v="181"/>
    <x v="199"/>
    <x v="185"/>
    <x v="184"/>
    <x v="236"/>
  </r>
  <r>
    <x v="0"/>
    <x v="6"/>
    <x v="9"/>
    <x v="159"/>
    <x v="188"/>
    <x v="178"/>
    <x v="172"/>
    <x v="145"/>
    <x v="191"/>
    <x v="212"/>
    <x v="198"/>
    <x v="170"/>
    <x v="128"/>
    <x v="164"/>
    <x v="197"/>
    <x v="168"/>
    <x v="232"/>
    <x v="212"/>
    <x v="179"/>
    <x v="185"/>
    <x v="194"/>
    <x v="221"/>
    <x v="78"/>
    <x v="187"/>
    <x v="146"/>
    <x v="222"/>
    <x v="148"/>
    <x v="178"/>
    <x v="196"/>
    <x v="205"/>
    <x v="198"/>
    <x v="200"/>
    <x v="186"/>
    <x v="185"/>
    <x v="237"/>
  </r>
  <r>
    <x v="1"/>
    <x v="6"/>
    <x v="9"/>
    <x v="160"/>
    <x v="189"/>
    <x v="179"/>
    <x v="173"/>
    <x v="97"/>
    <x v="170"/>
    <x v="213"/>
    <x v="154"/>
    <x v="108"/>
    <x v="176"/>
    <x v="165"/>
    <x v="196"/>
    <x v="169"/>
    <x v="233"/>
    <x v="213"/>
    <x v="197"/>
    <x v="186"/>
    <x v="196"/>
    <x v="222"/>
    <x v="78"/>
    <x v="188"/>
    <x v="171"/>
    <x v="223"/>
    <x v="149"/>
    <x v="179"/>
    <x v="197"/>
    <x v="206"/>
    <x v="199"/>
    <x v="201"/>
    <x v="150"/>
    <x v="186"/>
    <x v="238"/>
  </r>
  <r>
    <x v="2"/>
    <x v="6"/>
    <x v="9"/>
    <x v="161"/>
    <x v="190"/>
    <x v="180"/>
    <x v="174"/>
    <x v="137"/>
    <x v="136"/>
    <x v="214"/>
    <x v="199"/>
    <x v="168"/>
    <x v="127"/>
    <x v="166"/>
    <x v="198"/>
    <x v="170"/>
    <x v="234"/>
    <x v="214"/>
    <x v="198"/>
    <x v="187"/>
    <x v="197"/>
    <x v="223"/>
    <x v="78"/>
    <x v="189"/>
    <x v="172"/>
    <x v="224"/>
    <x v="150"/>
    <x v="180"/>
    <x v="198"/>
    <x v="207"/>
    <x v="200"/>
    <x v="202"/>
    <x v="187"/>
    <x v="187"/>
    <x v="239"/>
  </r>
  <r>
    <x v="0"/>
    <x v="6"/>
    <x v="11"/>
    <x v="161"/>
    <x v="191"/>
    <x v="133"/>
    <x v="175"/>
    <x v="146"/>
    <x v="155"/>
    <x v="215"/>
    <x v="141"/>
    <x v="101"/>
    <x v="177"/>
    <x v="167"/>
    <x v="199"/>
    <x v="171"/>
    <x v="235"/>
    <x v="204"/>
    <x v="199"/>
    <x v="188"/>
    <x v="198"/>
    <x v="224"/>
    <x v="79"/>
    <x v="190"/>
    <x v="173"/>
    <x v="225"/>
    <x v="151"/>
    <x v="181"/>
    <x v="199"/>
    <x v="208"/>
    <x v="201"/>
    <x v="203"/>
    <x v="188"/>
    <x v="188"/>
    <x v="240"/>
  </r>
  <r>
    <x v="1"/>
    <x v="6"/>
    <x v="11"/>
    <x v="162"/>
    <x v="192"/>
    <x v="181"/>
    <x v="176"/>
    <x v="147"/>
    <x v="192"/>
    <x v="216"/>
    <x v="200"/>
    <x v="171"/>
    <x v="178"/>
    <x v="130"/>
    <x v="195"/>
    <x v="172"/>
    <x v="236"/>
    <x v="215"/>
    <x v="200"/>
    <x v="189"/>
    <x v="199"/>
    <x v="151"/>
    <x v="79"/>
    <x v="191"/>
    <x v="126"/>
    <x v="226"/>
    <x v="152"/>
    <x v="182"/>
    <x v="200"/>
    <x v="209"/>
    <x v="202"/>
    <x v="180"/>
    <x v="159"/>
    <x v="189"/>
    <x v="241"/>
  </r>
  <r>
    <x v="2"/>
    <x v="6"/>
    <x v="11"/>
    <x v="163"/>
    <x v="193"/>
    <x v="182"/>
    <x v="177"/>
    <x v="139"/>
    <x v="193"/>
    <x v="217"/>
    <x v="201"/>
    <x v="141"/>
    <x v="179"/>
    <x v="168"/>
    <x v="200"/>
    <x v="169"/>
    <x v="237"/>
    <x v="207"/>
    <x v="201"/>
    <x v="190"/>
    <x v="200"/>
    <x v="225"/>
    <x v="79"/>
    <x v="192"/>
    <x v="130"/>
    <x v="227"/>
    <x v="153"/>
    <x v="178"/>
    <x v="175"/>
    <x v="210"/>
    <x v="183"/>
    <x v="204"/>
    <x v="189"/>
    <x v="190"/>
    <x v="242"/>
  </r>
  <r>
    <x v="0"/>
    <x v="6"/>
    <x v="12"/>
    <x v="164"/>
    <x v="194"/>
    <x v="183"/>
    <x v="178"/>
    <x v="148"/>
    <x v="194"/>
    <x v="218"/>
    <x v="202"/>
    <x v="170"/>
    <x v="180"/>
    <x v="169"/>
    <x v="201"/>
    <x v="173"/>
    <x v="238"/>
    <x v="216"/>
    <x v="202"/>
    <x v="191"/>
    <x v="201"/>
    <x v="226"/>
    <x v="80"/>
    <x v="193"/>
    <x v="174"/>
    <x v="228"/>
    <x v="154"/>
    <x v="181"/>
    <x v="201"/>
    <x v="211"/>
    <x v="203"/>
    <x v="205"/>
    <x v="190"/>
    <x v="191"/>
    <x v="243"/>
  </r>
  <r>
    <x v="1"/>
    <x v="6"/>
    <x v="12"/>
    <x v="165"/>
    <x v="195"/>
    <x v="184"/>
    <x v="179"/>
    <x v="149"/>
    <x v="147"/>
    <x v="219"/>
    <x v="203"/>
    <x v="153"/>
    <x v="181"/>
    <x v="142"/>
    <x v="199"/>
    <x v="174"/>
    <x v="239"/>
    <x v="217"/>
    <x v="171"/>
    <x v="192"/>
    <x v="202"/>
    <x v="227"/>
    <x v="80"/>
    <x v="146"/>
    <x v="175"/>
    <x v="229"/>
    <x v="155"/>
    <x v="175"/>
    <x v="202"/>
    <x v="212"/>
    <x v="204"/>
    <x v="159"/>
    <x v="171"/>
    <x v="185"/>
    <x v="244"/>
  </r>
  <r>
    <x v="2"/>
    <x v="6"/>
    <x v="12"/>
    <x v="160"/>
    <x v="196"/>
    <x v="185"/>
    <x v="180"/>
    <x v="150"/>
    <x v="191"/>
    <x v="220"/>
    <x v="138"/>
    <x v="168"/>
    <x v="182"/>
    <x v="170"/>
    <x v="202"/>
    <x v="175"/>
    <x v="240"/>
    <x v="218"/>
    <x v="203"/>
    <x v="193"/>
    <x v="203"/>
    <x v="228"/>
    <x v="80"/>
    <x v="194"/>
    <x v="176"/>
    <x v="230"/>
    <x v="156"/>
    <x v="183"/>
    <x v="178"/>
    <x v="213"/>
    <x v="205"/>
    <x v="206"/>
    <x v="191"/>
    <x v="192"/>
    <x v="245"/>
  </r>
  <r>
    <x v="0"/>
    <x v="7"/>
    <x v="0"/>
    <x v="166"/>
    <x v="197"/>
    <x v="186"/>
    <x v="181"/>
    <x v="151"/>
    <x v="146"/>
    <x v="221"/>
    <x v="204"/>
    <x v="101"/>
    <x v="183"/>
    <x v="171"/>
    <x v="203"/>
    <x v="176"/>
    <x v="241"/>
    <x v="210"/>
    <x v="204"/>
    <x v="194"/>
    <x v="204"/>
    <x v="229"/>
    <x v="81"/>
    <x v="195"/>
    <x v="177"/>
    <x v="231"/>
    <x v="157"/>
    <x v="184"/>
    <x v="203"/>
    <x v="214"/>
    <x v="206"/>
    <x v="207"/>
    <x v="192"/>
    <x v="193"/>
    <x v="246"/>
  </r>
  <r>
    <x v="1"/>
    <x v="7"/>
    <x v="0"/>
    <x v="167"/>
    <x v="198"/>
    <x v="187"/>
    <x v="182"/>
    <x v="152"/>
    <x v="195"/>
    <x v="222"/>
    <x v="76"/>
    <x v="108"/>
    <x v="184"/>
    <x v="126"/>
    <x v="204"/>
    <x v="177"/>
    <x v="242"/>
    <x v="219"/>
    <x v="205"/>
    <x v="195"/>
    <x v="205"/>
    <x v="230"/>
    <x v="81"/>
    <x v="196"/>
    <x v="178"/>
    <x v="232"/>
    <x v="147"/>
    <x v="185"/>
    <x v="204"/>
    <x v="215"/>
    <x v="207"/>
    <x v="208"/>
    <x v="193"/>
    <x v="194"/>
    <x v="247"/>
  </r>
  <r>
    <x v="2"/>
    <x v="7"/>
    <x v="0"/>
    <x v="168"/>
    <x v="199"/>
    <x v="188"/>
    <x v="183"/>
    <x v="153"/>
    <x v="196"/>
    <x v="223"/>
    <x v="205"/>
    <x v="104"/>
    <x v="185"/>
    <x v="172"/>
    <x v="205"/>
    <x v="178"/>
    <x v="243"/>
    <x v="220"/>
    <x v="185"/>
    <x v="143"/>
    <x v="206"/>
    <x v="231"/>
    <x v="81"/>
    <x v="197"/>
    <x v="179"/>
    <x v="233"/>
    <x v="158"/>
    <x v="186"/>
    <x v="205"/>
    <x v="216"/>
    <x v="208"/>
    <x v="209"/>
    <x v="194"/>
    <x v="195"/>
    <x v="248"/>
  </r>
  <r>
    <x v="0"/>
    <x v="7"/>
    <x v="1"/>
    <x v="169"/>
    <x v="200"/>
    <x v="189"/>
    <x v="184"/>
    <x v="154"/>
    <x v="197"/>
    <x v="224"/>
    <x v="136"/>
    <x v="99"/>
    <x v="186"/>
    <x v="173"/>
    <x v="206"/>
    <x v="179"/>
    <x v="244"/>
    <x v="221"/>
    <x v="206"/>
    <x v="196"/>
    <x v="207"/>
    <x v="232"/>
    <x v="82"/>
    <x v="198"/>
    <x v="180"/>
    <x v="234"/>
    <x v="159"/>
    <x v="187"/>
    <x v="206"/>
    <x v="217"/>
    <x v="209"/>
    <x v="210"/>
    <x v="195"/>
    <x v="192"/>
    <x v="249"/>
  </r>
  <r>
    <x v="1"/>
    <x v="7"/>
    <x v="1"/>
    <x v="170"/>
    <x v="198"/>
    <x v="190"/>
    <x v="185"/>
    <x v="155"/>
    <x v="198"/>
    <x v="225"/>
    <x v="206"/>
    <x v="97"/>
    <x v="187"/>
    <x v="174"/>
    <x v="207"/>
    <x v="180"/>
    <x v="245"/>
    <x v="222"/>
    <x v="174"/>
    <x v="110"/>
    <x v="147"/>
    <x v="180"/>
    <x v="82"/>
    <x v="199"/>
    <x v="181"/>
    <x v="211"/>
    <x v="155"/>
    <x v="188"/>
    <x v="207"/>
    <x v="218"/>
    <x v="210"/>
    <x v="185"/>
    <x v="193"/>
    <x v="196"/>
    <x v="250"/>
  </r>
  <r>
    <x v="2"/>
    <x v="7"/>
    <x v="1"/>
    <x v="171"/>
    <x v="200"/>
    <x v="191"/>
    <x v="186"/>
    <x v="156"/>
    <x v="127"/>
    <x v="226"/>
    <x v="204"/>
    <x v="170"/>
    <x v="188"/>
    <x v="175"/>
    <x v="208"/>
    <x v="181"/>
    <x v="246"/>
    <x v="223"/>
    <x v="164"/>
    <x v="197"/>
    <x v="208"/>
    <x v="233"/>
    <x v="82"/>
    <x v="200"/>
    <x v="182"/>
    <x v="235"/>
    <x v="130"/>
    <x v="187"/>
    <x v="184"/>
    <x v="219"/>
    <x v="211"/>
    <x v="211"/>
    <x v="196"/>
    <x v="197"/>
    <x v="251"/>
  </r>
  <r>
    <x v="0"/>
    <x v="7"/>
    <x v="2"/>
    <x v="172"/>
    <x v="201"/>
    <x v="192"/>
    <x v="187"/>
    <x v="157"/>
    <x v="127"/>
    <x v="227"/>
    <x v="136"/>
    <x v="172"/>
    <x v="189"/>
    <x v="173"/>
    <x v="209"/>
    <x v="182"/>
    <x v="247"/>
    <x v="224"/>
    <x v="207"/>
    <x v="198"/>
    <x v="209"/>
    <x v="234"/>
    <x v="83"/>
    <x v="201"/>
    <x v="183"/>
    <x v="236"/>
    <x v="160"/>
    <x v="189"/>
    <x v="208"/>
    <x v="220"/>
    <x v="212"/>
    <x v="212"/>
    <x v="197"/>
    <x v="198"/>
    <x v="252"/>
  </r>
  <r>
    <x v="1"/>
    <x v="7"/>
    <x v="2"/>
    <x v="173"/>
    <x v="200"/>
    <x v="193"/>
    <x v="188"/>
    <x v="148"/>
    <x v="181"/>
    <x v="228"/>
    <x v="207"/>
    <x v="107"/>
    <x v="190"/>
    <x v="124"/>
    <x v="208"/>
    <x v="183"/>
    <x v="248"/>
    <x v="225"/>
    <x v="176"/>
    <x v="199"/>
    <x v="170"/>
    <x v="235"/>
    <x v="83"/>
    <x v="202"/>
    <x v="184"/>
    <x v="237"/>
    <x v="110"/>
    <x v="190"/>
    <x v="209"/>
    <x v="221"/>
    <x v="190"/>
    <x v="213"/>
    <x v="198"/>
    <x v="199"/>
    <x v="253"/>
  </r>
  <r>
    <x v="2"/>
    <x v="7"/>
    <x v="2"/>
    <x v="174"/>
    <x v="202"/>
    <x v="194"/>
    <x v="189"/>
    <x v="158"/>
    <x v="175"/>
    <x v="183"/>
    <x v="204"/>
    <x v="169"/>
    <x v="191"/>
    <x v="176"/>
    <x v="210"/>
    <x v="184"/>
    <x v="249"/>
    <x v="226"/>
    <x v="208"/>
    <x v="146"/>
    <x v="164"/>
    <x v="236"/>
    <x v="83"/>
    <x v="200"/>
    <x v="185"/>
    <x v="238"/>
    <x v="125"/>
    <x v="191"/>
    <x v="210"/>
    <x v="222"/>
    <x v="208"/>
    <x v="214"/>
    <x v="199"/>
    <x v="190"/>
    <x v="254"/>
  </r>
  <r>
    <x v="0"/>
    <x v="7"/>
    <x v="3"/>
    <x v="175"/>
    <x v="203"/>
    <x v="195"/>
    <x v="190"/>
    <x v="159"/>
    <x v="144"/>
    <x v="229"/>
    <x v="208"/>
    <x v="173"/>
    <x v="192"/>
    <x v="177"/>
    <x v="210"/>
    <x v="183"/>
    <x v="250"/>
    <x v="227"/>
    <x v="164"/>
    <x v="200"/>
    <x v="210"/>
    <x v="231"/>
    <x v="84"/>
    <x v="197"/>
    <x v="173"/>
    <x v="239"/>
    <x v="161"/>
    <x v="191"/>
    <x v="199"/>
    <x v="223"/>
    <x v="213"/>
    <x v="215"/>
    <x v="200"/>
    <x v="190"/>
    <x v="255"/>
  </r>
  <r>
    <x v="1"/>
    <x v="7"/>
    <x v="3"/>
    <x v="176"/>
    <x v="204"/>
    <x v="196"/>
    <x v="191"/>
    <x v="160"/>
    <x v="154"/>
    <x v="230"/>
    <x v="209"/>
    <x v="128"/>
    <x v="189"/>
    <x v="147"/>
    <x v="211"/>
    <x v="178"/>
    <x v="251"/>
    <x v="228"/>
    <x v="201"/>
    <x v="201"/>
    <x v="197"/>
    <x v="164"/>
    <x v="84"/>
    <x v="183"/>
    <x v="186"/>
    <x v="240"/>
    <x v="162"/>
    <x v="191"/>
    <x v="166"/>
    <x v="224"/>
    <x v="178"/>
    <x v="216"/>
    <x v="201"/>
    <x v="194"/>
    <x v="256"/>
  </r>
  <r>
    <x v="2"/>
    <x v="7"/>
    <x v="3"/>
    <x v="177"/>
    <x v="203"/>
    <x v="197"/>
    <x v="190"/>
    <x v="161"/>
    <x v="199"/>
    <x v="58"/>
    <x v="210"/>
    <x v="113"/>
    <x v="193"/>
    <x v="178"/>
    <x v="212"/>
    <x v="185"/>
    <x v="252"/>
    <x v="227"/>
    <x v="183"/>
    <x v="140"/>
    <x v="161"/>
    <x v="237"/>
    <x v="84"/>
    <x v="203"/>
    <x v="187"/>
    <x v="206"/>
    <x v="163"/>
    <x v="191"/>
    <x v="211"/>
    <x v="225"/>
    <x v="214"/>
    <x v="176"/>
    <x v="202"/>
    <x v="200"/>
    <x v="257"/>
  </r>
  <r>
    <x v="0"/>
    <x v="7"/>
    <x v="5"/>
    <x v="178"/>
    <x v="205"/>
    <x v="198"/>
    <x v="192"/>
    <x v="162"/>
    <x v="196"/>
    <x v="231"/>
    <x v="211"/>
    <x v="169"/>
    <x v="194"/>
    <x v="179"/>
    <x v="213"/>
    <x v="186"/>
    <x v="253"/>
    <x v="229"/>
    <x v="209"/>
    <x v="202"/>
    <x v="211"/>
    <x v="238"/>
    <x v="85"/>
    <x v="195"/>
    <x v="188"/>
    <x v="222"/>
    <x v="164"/>
    <x v="192"/>
    <x v="212"/>
    <x v="226"/>
    <x v="215"/>
    <x v="217"/>
    <x v="203"/>
    <x v="201"/>
    <x v="258"/>
  </r>
  <r>
    <x v="1"/>
    <x v="7"/>
    <x v="5"/>
    <x v="179"/>
    <x v="206"/>
    <x v="199"/>
    <x v="193"/>
    <x v="163"/>
    <x v="200"/>
    <x v="27"/>
    <x v="212"/>
    <x v="174"/>
    <x v="195"/>
    <x v="180"/>
    <x v="214"/>
    <x v="187"/>
    <x v="254"/>
    <x v="230"/>
    <x v="196"/>
    <x v="203"/>
    <x v="151"/>
    <x v="239"/>
    <x v="85"/>
    <x v="199"/>
    <x v="186"/>
    <x v="241"/>
    <x v="165"/>
    <x v="193"/>
    <x v="213"/>
    <x v="227"/>
    <x v="190"/>
    <x v="218"/>
    <x v="204"/>
    <x v="202"/>
    <x v="259"/>
  </r>
  <r>
    <x v="2"/>
    <x v="7"/>
    <x v="5"/>
    <x v="180"/>
    <x v="207"/>
    <x v="200"/>
    <x v="192"/>
    <x v="164"/>
    <x v="147"/>
    <x v="232"/>
    <x v="213"/>
    <x v="141"/>
    <x v="196"/>
    <x v="181"/>
    <x v="213"/>
    <x v="188"/>
    <x v="255"/>
    <x v="231"/>
    <x v="210"/>
    <x v="204"/>
    <x v="212"/>
    <x v="200"/>
    <x v="85"/>
    <x v="200"/>
    <x v="189"/>
    <x v="242"/>
    <x v="154"/>
    <x v="194"/>
    <x v="214"/>
    <x v="228"/>
    <x v="216"/>
    <x v="197"/>
    <x v="205"/>
    <x v="203"/>
    <x v="260"/>
  </r>
  <r>
    <x v="0"/>
    <x v="7"/>
    <x v="6"/>
    <x v="178"/>
    <x v="205"/>
    <x v="198"/>
    <x v="192"/>
    <x v="162"/>
    <x v="196"/>
    <x v="231"/>
    <x v="211"/>
    <x v="169"/>
    <x v="194"/>
    <x v="179"/>
    <x v="213"/>
    <x v="186"/>
    <x v="253"/>
    <x v="229"/>
    <x v="209"/>
    <x v="202"/>
    <x v="211"/>
    <x v="238"/>
    <x v="85"/>
    <x v="195"/>
    <x v="188"/>
    <x v="222"/>
    <x v="164"/>
    <x v="192"/>
    <x v="212"/>
    <x v="226"/>
    <x v="215"/>
    <x v="217"/>
    <x v="203"/>
    <x v="201"/>
    <x v="258"/>
  </r>
  <r>
    <x v="1"/>
    <x v="7"/>
    <x v="6"/>
    <x v="179"/>
    <x v="206"/>
    <x v="199"/>
    <x v="193"/>
    <x v="163"/>
    <x v="200"/>
    <x v="27"/>
    <x v="212"/>
    <x v="174"/>
    <x v="195"/>
    <x v="180"/>
    <x v="214"/>
    <x v="187"/>
    <x v="254"/>
    <x v="230"/>
    <x v="196"/>
    <x v="203"/>
    <x v="151"/>
    <x v="239"/>
    <x v="85"/>
    <x v="199"/>
    <x v="186"/>
    <x v="241"/>
    <x v="165"/>
    <x v="193"/>
    <x v="213"/>
    <x v="227"/>
    <x v="190"/>
    <x v="218"/>
    <x v="204"/>
    <x v="202"/>
    <x v="259"/>
  </r>
  <r>
    <x v="2"/>
    <x v="7"/>
    <x v="6"/>
    <x v="180"/>
    <x v="207"/>
    <x v="200"/>
    <x v="192"/>
    <x v="164"/>
    <x v="147"/>
    <x v="232"/>
    <x v="213"/>
    <x v="141"/>
    <x v="196"/>
    <x v="181"/>
    <x v="213"/>
    <x v="188"/>
    <x v="255"/>
    <x v="231"/>
    <x v="210"/>
    <x v="204"/>
    <x v="212"/>
    <x v="200"/>
    <x v="85"/>
    <x v="200"/>
    <x v="189"/>
    <x v="242"/>
    <x v="154"/>
    <x v="194"/>
    <x v="214"/>
    <x v="228"/>
    <x v="216"/>
    <x v="197"/>
    <x v="205"/>
    <x v="203"/>
    <x v="260"/>
  </r>
  <r>
    <x v="0"/>
    <x v="7"/>
    <x v="7"/>
    <x v="181"/>
    <x v="208"/>
    <x v="181"/>
    <x v="192"/>
    <x v="165"/>
    <x v="201"/>
    <x v="233"/>
    <x v="214"/>
    <x v="141"/>
    <x v="197"/>
    <x v="182"/>
    <x v="215"/>
    <x v="189"/>
    <x v="256"/>
    <x v="232"/>
    <x v="211"/>
    <x v="205"/>
    <x v="213"/>
    <x v="240"/>
    <x v="86"/>
    <x v="204"/>
    <x v="190"/>
    <x v="243"/>
    <x v="166"/>
    <x v="195"/>
    <x v="215"/>
    <x v="229"/>
    <x v="217"/>
    <x v="219"/>
    <x v="206"/>
    <x v="204"/>
    <x v="261"/>
  </r>
  <r>
    <x v="1"/>
    <x v="7"/>
    <x v="7"/>
    <x v="182"/>
    <x v="209"/>
    <x v="201"/>
    <x v="193"/>
    <x v="166"/>
    <x v="202"/>
    <x v="234"/>
    <x v="215"/>
    <x v="175"/>
    <x v="197"/>
    <x v="175"/>
    <x v="216"/>
    <x v="190"/>
    <x v="257"/>
    <x v="233"/>
    <x v="212"/>
    <x v="118"/>
    <x v="155"/>
    <x v="204"/>
    <x v="86"/>
    <x v="183"/>
    <x v="191"/>
    <x v="188"/>
    <x v="167"/>
    <x v="196"/>
    <x v="216"/>
    <x v="230"/>
    <x v="183"/>
    <x v="220"/>
    <x v="207"/>
    <x v="205"/>
    <x v="262"/>
  </r>
  <r>
    <x v="2"/>
    <x v="7"/>
    <x v="7"/>
    <x v="183"/>
    <x v="210"/>
    <x v="202"/>
    <x v="192"/>
    <x v="167"/>
    <x v="203"/>
    <x v="28"/>
    <x v="210"/>
    <x v="100"/>
    <x v="197"/>
    <x v="183"/>
    <x v="217"/>
    <x v="187"/>
    <x v="258"/>
    <x v="234"/>
    <x v="213"/>
    <x v="206"/>
    <x v="214"/>
    <x v="241"/>
    <x v="86"/>
    <x v="205"/>
    <x v="192"/>
    <x v="244"/>
    <x v="168"/>
    <x v="197"/>
    <x v="217"/>
    <x v="231"/>
    <x v="218"/>
    <x v="221"/>
    <x v="208"/>
    <x v="206"/>
    <x v="263"/>
  </r>
  <r>
    <x v="0"/>
    <x v="7"/>
    <x v="8"/>
    <x v="184"/>
    <x v="211"/>
    <x v="183"/>
    <x v="193"/>
    <x v="168"/>
    <x v="204"/>
    <x v="212"/>
    <x v="216"/>
    <x v="100"/>
    <x v="197"/>
    <x v="184"/>
    <x v="218"/>
    <x v="191"/>
    <x v="259"/>
    <x v="235"/>
    <x v="214"/>
    <x v="207"/>
    <x v="215"/>
    <x v="242"/>
    <x v="87"/>
    <x v="206"/>
    <x v="161"/>
    <x v="245"/>
    <x v="169"/>
    <x v="198"/>
    <x v="218"/>
    <x v="232"/>
    <x v="203"/>
    <x v="222"/>
    <x v="209"/>
    <x v="207"/>
    <x v="264"/>
  </r>
  <r>
    <x v="1"/>
    <x v="7"/>
    <x v="8"/>
    <x v="185"/>
    <x v="212"/>
    <x v="203"/>
    <x v="194"/>
    <x v="169"/>
    <x v="205"/>
    <x v="235"/>
    <x v="209"/>
    <x v="121"/>
    <x v="198"/>
    <x v="154"/>
    <x v="219"/>
    <x v="192"/>
    <x v="260"/>
    <x v="236"/>
    <x v="215"/>
    <x v="208"/>
    <x v="216"/>
    <x v="243"/>
    <x v="87"/>
    <x v="207"/>
    <x v="193"/>
    <x v="246"/>
    <x v="170"/>
    <x v="199"/>
    <x v="219"/>
    <x v="233"/>
    <x v="196"/>
    <x v="223"/>
    <x v="210"/>
    <x v="208"/>
    <x v="265"/>
  </r>
  <r>
    <x v="2"/>
    <x v="7"/>
    <x v="8"/>
    <x v="186"/>
    <x v="213"/>
    <x v="204"/>
    <x v="195"/>
    <x v="162"/>
    <x v="182"/>
    <x v="236"/>
    <x v="217"/>
    <x v="176"/>
    <x v="199"/>
    <x v="185"/>
    <x v="220"/>
    <x v="193"/>
    <x v="261"/>
    <x v="237"/>
    <x v="207"/>
    <x v="209"/>
    <x v="217"/>
    <x v="244"/>
    <x v="87"/>
    <x v="208"/>
    <x v="194"/>
    <x v="247"/>
    <x v="171"/>
    <x v="200"/>
    <x v="220"/>
    <x v="234"/>
    <x v="219"/>
    <x v="224"/>
    <x v="211"/>
    <x v="204"/>
    <x v="266"/>
  </r>
  <r>
    <x v="0"/>
    <x v="7"/>
    <x v="9"/>
    <x v="187"/>
    <x v="214"/>
    <x v="205"/>
    <x v="195"/>
    <x v="170"/>
    <x v="147"/>
    <x v="237"/>
    <x v="211"/>
    <x v="177"/>
    <x v="198"/>
    <x v="186"/>
    <x v="221"/>
    <x v="194"/>
    <x v="262"/>
    <x v="238"/>
    <x v="216"/>
    <x v="210"/>
    <x v="218"/>
    <x v="245"/>
    <x v="88"/>
    <x v="209"/>
    <x v="143"/>
    <x v="248"/>
    <x v="172"/>
    <x v="201"/>
    <x v="221"/>
    <x v="235"/>
    <x v="220"/>
    <x v="225"/>
    <x v="212"/>
    <x v="209"/>
    <x v="267"/>
  </r>
  <r>
    <x v="1"/>
    <x v="7"/>
    <x v="9"/>
    <x v="188"/>
    <x v="215"/>
    <x v="206"/>
    <x v="196"/>
    <x v="171"/>
    <x v="206"/>
    <x v="238"/>
    <x v="130"/>
    <x v="178"/>
    <x v="200"/>
    <x v="177"/>
    <x v="222"/>
    <x v="195"/>
    <x v="263"/>
    <x v="236"/>
    <x v="185"/>
    <x v="211"/>
    <x v="158"/>
    <x v="246"/>
    <x v="88"/>
    <x v="210"/>
    <x v="186"/>
    <x v="249"/>
    <x v="173"/>
    <x v="202"/>
    <x v="222"/>
    <x v="236"/>
    <x v="205"/>
    <x v="216"/>
    <x v="213"/>
    <x v="210"/>
    <x v="268"/>
  </r>
  <r>
    <x v="2"/>
    <x v="7"/>
    <x v="9"/>
    <x v="189"/>
    <x v="216"/>
    <x v="207"/>
    <x v="195"/>
    <x v="172"/>
    <x v="207"/>
    <x v="239"/>
    <x v="213"/>
    <x v="110"/>
    <x v="201"/>
    <x v="187"/>
    <x v="223"/>
    <x v="196"/>
    <x v="264"/>
    <x v="239"/>
    <x v="217"/>
    <x v="212"/>
    <x v="207"/>
    <x v="247"/>
    <x v="88"/>
    <x v="208"/>
    <x v="195"/>
    <x v="250"/>
    <x v="174"/>
    <x v="203"/>
    <x v="223"/>
    <x v="237"/>
    <x v="218"/>
    <x v="226"/>
    <x v="214"/>
    <x v="211"/>
    <x v="269"/>
  </r>
  <r>
    <x v="0"/>
    <x v="7"/>
    <x v="11"/>
    <x v="190"/>
    <x v="217"/>
    <x v="208"/>
    <x v="197"/>
    <x v="173"/>
    <x v="180"/>
    <x v="240"/>
    <x v="218"/>
    <x v="179"/>
    <x v="202"/>
    <x v="188"/>
    <x v="224"/>
    <x v="197"/>
    <x v="265"/>
    <x v="240"/>
    <x v="218"/>
    <x v="213"/>
    <x v="219"/>
    <x v="248"/>
    <x v="89"/>
    <x v="211"/>
    <x v="196"/>
    <x v="251"/>
    <x v="175"/>
    <x v="201"/>
    <x v="224"/>
    <x v="238"/>
    <x v="221"/>
    <x v="227"/>
    <x v="215"/>
    <x v="212"/>
    <x v="270"/>
  </r>
  <r>
    <x v="1"/>
    <x v="7"/>
    <x v="11"/>
    <x v="191"/>
    <x v="218"/>
    <x v="209"/>
    <x v="194"/>
    <x v="174"/>
    <x v="208"/>
    <x v="241"/>
    <x v="219"/>
    <x v="180"/>
    <x v="203"/>
    <x v="189"/>
    <x v="225"/>
    <x v="198"/>
    <x v="266"/>
    <x v="241"/>
    <x v="219"/>
    <x v="214"/>
    <x v="220"/>
    <x v="249"/>
    <x v="89"/>
    <x v="210"/>
    <x v="197"/>
    <x v="252"/>
    <x v="176"/>
    <x v="204"/>
    <x v="225"/>
    <x v="239"/>
    <x v="216"/>
    <x v="228"/>
    <x v="216"/>
    <x v="213"/>
    <x v="271"/>
  </r>
  <r>
    <x v="2"/>
    <x v="7"/>
    <x v="11"/>
    <x v="192"/>
    <x v="219"/>
    <x v="210"/>
    <x v="197"/>
    <x v="175"/>
    <x v="209"/>
    <x v="242"/>
    <x v="220"/>
    <x v="181"/>
    <x v="204"/>
    <x v="190"/>
    <x v="226"/>
    <x v="199"/>
    <x v="267"/>
    <x v="242"/>
    <x v="220"/>
    <x v="215"/>
    <x v="221"/>
    <x v="250"/>
    <x v="89"/>
    <x v="212"/>
    <x v="198"/>
    <x v="253"/>
    <x v="177"/>
    <x v="205"/>
    <x v="226"/>
    <x v="240"/>
    <x v="222"/>
    <x v="229"/>
    <x v="217"/>
    <x v="214"/>
    <x v="272"/>
  </r>
  <r>
    <x v="0"/>
    <x v="7"/>
    <x v="12"/>
    <x v="193"/>
    <x v="220"/>
    <x v="211"/>
    <x v="198"/>
    <x v="176"/>
    <x v="210"/>
    <x v="243"/>
    <x v="127"/>
    <x v="107"/>
    <x v="205"/>
    <x v="191"/>
    <x v="227"/>
    <x v="200"/>
    <x v="268"/>
    <x v="243"/>
    <x v="221"/>
    <x v="216"/>
    <x v="222"/>
    <x v="251"/>
    <x v="90"/>
    <x v="213"/>
    <x v="199"/>
    <x v="254"/>
    <x v="172"/>
    <x v="206"/>
    <x v="227"/>
    <x v="241"/>
    <x v="223"/>
    <x v="230"/>
    <x v="218"/>
    <x v="215"/>
    <x v="273"/>
  </r>
  <r>
    <x v="1"/>
    <x v="7"/>
    <x v="12"/>
    <x v="194"/>
    <x v="221"/>
    <x v="212"/>
    <x v="199"/>
    <x v="177"/>
    <x v="166"/>
    <x v="244"/>
    <x v="221"/>
    <x v="140"/>
    <x v="206"/>
    <x v="192"/>
    <x v="228"/>
    <x v="198"/>
    <x v="269"/>
    <x v="244"/>
    <x v="222"/>
    <x v="158"/>
    <x v="223"/>
    <x v="252"/>
    <x v="90"/>
    <x v="214"/>
    <x v="200"/>
    <x v="255"/>
    <x v="178"/>
    <x v="204"/>
    <x v="228"/>
    <x v="242"/>
    <x v="224"/>
    <x v="215"/>
    <x v="219"/>
    <x v="216"/>
    <x v="274"/>
  </r>
  <r>
    <x v="2"/>
    <x v="7"/>
    <x v="12"/>
    <x v="187"/>
    <x v="219"/>
    <x v="213"/>
    <x v="200"/>
    <x v="178"/>
    <x v="211"/>
    <x v="245"/>
    <x v="222"/>
    <x v="177"/>
    <x v="207"/>
    <x v="193"/>
    <x v="222"/>
    <x v="201"/>
    <x v="270"/>
    <x v="245"/>
    <x v="223"/>
    <x v="217"/>
    <x v="224"/>
    <x v="253"/>
    <x v="90"/>
    <x v="215"/>
    <x v="179"/>
    <x v="256"/>
    <x v="179"/>
    <x v="207"/>
    <x v="229"/>
    <x v="243"/>
    <x v="225"/>
    <x v="231"/>
    <x v="220"/>
    <x v="217"/>
    <x v="275"/>
  </r>
  <r>
    <x v="0"/>
    <x v="8"/>
    <x v="0"/>
    <x v="195"/>
    <x v="222"/>
    <x v="211"/>
    <x v="198"/>
    <x v="179"/>
    <x v="204"/>
    <x v="246"/>
    <x v="127"/>
    <x v="101"/>
    <x v="208"/>
    <x v="194"/>
    <x v="229"/>
    <x v="194"/>
    <x v="271"/>
    <x v="246"/>
    <x v="224"/>
    <x v="218"/>
    <x v="225"/>
    <x v="254"/>
    <x v="91"/>
    <x v="216"/>
    <x v="201"/>
    <x v="257"/>
    <x v="180"/>
    <x v="201"/>
    <x v="230"/>
    <x v="244"/>
    <x v="226"/>
    <x v="232"/>
    <x v="221"/>
    <x v="218"/>
    <x v="276"/>
  </r>
  <r>
    <x v="1"/>
    <x v="8"/>
    <x v="0"/>
    <x v="196"/>
    <x v="223"/>
    <x v="214"/>
    <x v="201"/>
    <x v="180"/>
    <x v="212"/>
    <x v="247"/>
    <x v="89"/>
    <x v="174"/>
    <x v="207"/>
    <x v="195"/>
    <x v="230"/>
    <x v="197"/>
    <x v="272"/>
    <x v="247"/>
    <x v="210"/>
    <x v="127"/>
    <x v="226"/>
    <x v="255"/>
    <x v="91"/>
    <x v="203"/>
    <x v="194"/>
    <x v="258"/>
    <x v="181"/>
    <x v="208"/>
    <x v="231"/>
    <x v="245"/>
    <x v="208"/>
    <x v="233"/>
    <x v="222"/>
    <x v="219"/>
    <x v="277"/>
  </r>
  <r>
    <x v="2"/>
    <x v="8"/>
    <x v="0"/>
    <x v="165"/>
    <x v="224"/>
    <x v="213"/>
    <x v="200"/>
    <x v="181"/>
    <x v="213"/>
    <x v="248"/>
    <x v="223"/>
    <x v="97"/>
    <x v="209"/>
    <x v="196"/>
    <x v="231"/>
    <x v="202"/>
    <x v="273"/>
    <x v="248"/>
    <x v="225"/>
    <x v="169"/>
    <x v="227"/>
    <x v="256"/>
    <x v="91"/>
    <x v="175"/>
    <x v="202"/>
    <x v="259"/>
    <x v="182"/>
    <x v="209"/>
    <x v="232"/>
    <x v="246"/>
    <x v="227"/>
    <x v="234"/>
    <x v="223"/>
    <x v="220"/>
    <x v="278"/>
  </r>
  <r>
    <x v="0"/>
    <x v="8"/>
    <x v="1"/>
    <x v="164"/>
    <x v="225"/>
    <x v="215"/>
    <x v="201"/>
    <x v="182"/>
    <x v="139"/>
    <x v="249"/>
    <x v="224"/>
    <x v="146"/>
    <x v="210"/>
    <x v="197"/>
    <x v="232"/>
    <x v="203"/>
    <x v="274"/>
    <x v="248"/>
    <x v="226"/>
    <x v="219"/>
    <x v="228"/>
    <x v="257"/>
    <x v="92"/>
    <x v="217"/>
    <x v="203"/>
    <x v="260"/>
    <x v="183"/>
    <x v="196"/>
    <x v="233"/>
    <x v="247"/>
    <x v="228"/>
    <x v="235"/>
    <x v="224"/>
    <x v="213"/>
    <x v="279"/>
  </r>
  <r>
    <x v="1"/>
    <x v="8"/>
    <x v="1"/>
    <x v="181"/>
    <x v="226"/>
    <x v="216"/>
    <x v="202"/>
    <x v="183"/>
    <x v="214"/>
    <x v="250"/>
    <x v="225"/>
    <x v="179"/>
    <x v="211"/>
    <x v="193"/>
    <x v="233"/>
    <x v="204"/>
    <x v="275"/>
    <x v="249"/>
    <x v="227"/>
    <x v="220"/>
    <x v="229"/>
    <x v="258"/>
    <x v="92"/>
    <x v="218"/>
    <x v="204"/>
    <x v="261"/>
    <x v="184"/>
    <x v="210"/>
    <x v="223"/>
    <x v="248"/>
    <x v="213"/>
    <x v="236"/>
    <x v="225"/>
    <x v="221"/>
    <x v="280"/>
  </r>
  <r>
    <x v="2"/>
    <x v="8"/>
    <x v="1"/>
    <x v="168"/>
    <x v="227"/>
    <x v="217"/>
    <x v="203"/>
    <x v="184"/>
    <x v="215"/>
    <x v="251"/>
    <x v="226"/>
    <x v="155"/>
    <x v="212"/>
    <x v="198"/>
    <x v="234"/>
    <x v="205"/>
    <x v="276"/>
    <x v="250"/>
    <x v="228"/>
    <x v="194"/>
    <x v="230"/>
    <x v="259"/>
    <x v="92"/>
    <x v="190"/>
    <x v="205"/>
    <x v="262"/>
    <x v="185"/>
    <x v="211"/>
    <x v="234"/>
    <x v="249"/>
    <x v="229"/>
    <x v="237"/>
    <x v="226"/>
    <x v="222"/>
    <x v="281"/>
  </r>
  <r>
    <x v="0"/>
    <x v="8"/>
    <x v="2"/>
    <x v="163"/>
    <x v="228"/>
    <x v="218"/>
    <x v="204"/>
    <x v="185"/>
    <x v="208"/>
    <x v="67"/>
    <x v="227"/>
    <x v="166"/>
    <x v="209"/>
    <x v="199"/>
    <x v="235"/>
    <x v="206"/>
    <x v="277"/>
    <x v="251"/>
    <x v="229"/>
    <x v="221"/>
    <x v="231"/>
    <x v="260"/>
    <x v="93"/>
    <x v="217"/>
    <x v="206"/>
    <x v="263"/>
    <x v="186"/>
    <x v="212"/>
    <x v="235"/>
    <x v="250"/>
    <x v="230"/>
    <x v="238"/>
    <x v="227"/>
    <x v="213"/>
    <x v="282"/>
  </r>
  <r>
    <x v="1"/>
    <x v="8"/>
    <x v="2"/>
    <x v="189"/>
    <x v="229"/>
    <x v="219"/>
    <x v="190"/>
    <x v="186"/>
    <x v="216"/>
    <x v="252"/>
    <x v="228"/>
    <x v="151"/>
    <x v="213"/>
    <x v="200"/>
    <x v="236"/>
    <x v="207"/>
    <x v="278"/>
    <x v="252"/>
    <x v="211"/>
    <x v="222"/>
    <x v="232"/>
    <x v="261"/>
    <x v="93"/>
    <x v="219"/>
    <x v="207"/>
    <x v="264"/>
    <x v="187"/>
    <x v="213"/>
    <x v="236"/>
    <x v="245"/>
    <x v="231"/>
    <x v="239"/>
    <x v="211"/>
    <x v="216"/>
    <x v="283"/>
  </r>
  <r>
    <x v="2"/>
    <x v="8"/>
    <x v="2"/>
    <x v="162"/>
    <x v="230"/>
    <x v="220"/>
    <x v="205"/>
    <x v="187"/>
    <x v="217"/>
    <x v="123"/>
    <x v="225"/>
    <x v="172"/>
    <x v="205"/>
    <x v="201"/>
    <x v="237"/>
    <x v="208"/>
    <x v="279"/>
    <x v="253"/>
    <x v="230"/>
    <x v="223"/>
    <x v="233"/>
    <x v="262"/>
    <x v="93"/>
    <x v="193"/>
    <x v="208"/>
    <x v="265"/>
    <x v="188"/>
    <x v="214"/>
    <x v="237"/>
    <x v="251"/>
    <x v="197"/>
    <x v="240"/>
    <x v="228"/>
    <x v="223"/>
    <x v="284"/>
  </r>
  <r>
    <x v="0"/>
    <x v="8"/>
    <x v="3"/>
    <x v="157"/>
    <x v="218"/>
    <x v="221"/>
    <x v="206"/>
    <x v="188"/>
    <x v="218"/>
    <x v="172"/>
    <x v="228"/>
    <x v="182"/>
    <x v="214"/>
    <x v="202"/>
    <x v="238"/>
    <x v="209"/>
    <x v="280"/>
    <x v="254"/>
    <x v="231"/>
    <x v="224"/>
    <x v="234"/>
    <x v="263"/>
    <x v="94"/>
    <x v="220"/>
    <x v="206"/>
    <x v="266"/>
    <x v="189"/>
    <x v="215"/>
    <x v="238"/>
    <x v="252"/>
    <x v="232"/>
    <x v="241"/>
    <x v="229"/>
    <x v="224"/>
    <x v="285"/>
  </r>
  <r>
    <x v="1"/>
    <x v="8"/>
    <x v="3"/>
    <x v="181"/>
    <x v="231"/>
    <x v="222"/>
    <x v="207"/>
    <x v="189"/>
    <x v="219"/>
    <x v="201"/>
    <x v="95"/>
    <x v="108"/>
    <x v="215"/>
    <x v="203"/>
    <x v="239"/>
    <x v="210"/>
    <x v="281"/>
    <x v="255"/>
    <x v="232"/>
    <x v="225"/>
    <x v="235"/>
    <x v="211"/>
    <x v="94"/>
    <x v="221"/>
    <x v="209"/>
    <x v="267"/>
    <x v="190"/>
    <x v="206"/>
    <x v="239"/>
    <x v="240"/>
    <x v="231"/>
    <x v="203"/>
    <x v="230"/>
    <x v="225"/>
    <x v="286"/>
  </r>
  <r>
    <x v="2"/>
    <x v="8"/>
    <x v="3"/>
    <x v="168"/>
    <x v="232"/>
    <x v="223"/>
    <x v="208"/>
    <x v="190"/>
    <x v="220"/>
    <x v="103"/>
    <x v="125"/>
    <x v="99"/>
    <x v="216"/>
    <x v="204"/>
    <x v="240"/>
    <x v="193"/>
    <x v="282"/>
    <x v="241"/>
    <x v="233"/>
    <x v="226"/>
    <x v="236"/>
    <x v="264"/>
    <x v="94"/>
    <x v="198"/>
    <x v="210"/>
    <x v="268"/>
    <x v="191"/>
    <x v="216"/>
    <x v="240"/>
    <x v="250"/>
    <x v="233"/>
    <x v="217"/>
    <x v="231"/>
    <x v="226"/>
    <x v="287"/>
  </r>
  <r>
    <x v="0"/>
    <x v="8"/>
    <x v="4"/>
    <x v="174"/>
    <x v="233"/>
    <x v="224"/>
    <x v="209"/>
    <x v="191"/>
    <x v="221"/>
    <x v="253"/>
    <x v="229"/>
    <x v="151"/>
    <x v="217"/>
    <x v="205"/>
    <x v="241"/>
    <x v="211"/>
    <x v="283"/>
    <x v="256"/>
    <x v="234"/>
    <x v="227"/>
    <x v="237"/>
    <x v="265"/>
    <x v="95"/>
    <x v="222"/>
    <x v="211"/>
    <x v="269"/>
    <x v="192"/>
    <x v="217"/>
    <x v="241"/>
    <x v="253"/>
    <x v="234"/>
    <x v="242"/>
    <x v="232"/>
    <x v="227"/>
    <x v="288"/>
  </r>
  <r>
    <x v="1"/>
    <x v="8"/>
    <x v="4"/>
    <x v="197"/>
    <x v="234"/>
    <x v="225"/>
    <x v="210"/>
    <x v="192"/>
    <x v="222"/>
    <x v="254"/>
    <x v="230"/>
    <x v="183"/>
    <x v="218"/>
    <x v="206"/>
    <x v="242"/>
    <x v="212"/>
    <x v="284"/>
    <x v="257"/>
    <x v="235"/>
    <x v="228"/>
    <x v="211"/>
    <x v="224"/>
    <x v="95"/>
    <x v="171"/>
    <x v="208"/>
    <x v="270"/>
    <x v="193"/>
    <x v="218"/>
    <x v="224"/>
    <x v="254"/>
    <x v="213"/>
    <x v="240"/>
    <x v="233"/>
    <x v="228"/>
    <x v="289"/>
  </r>
  <r>
    <x v="2"/>
    <x v="8"/>
    <x v="4"/>
    <x v="198"/>
    <x v="235"/>
    <x v="226"/>
    <x v="211"/>
    <x v="193"/>
    <x v="223"/>
    <x v="255"/>
    <x v="81"/>
    <x v="108"/>
    <x v="219"/>
    <x v="207"/>
    <x v="243"/>
    <x v="213"/>
    <x v="285"/>
    <x v="258"/>
    <x v="236"/>
    <x v="229"/>
    <x v="238"/>
    <x v="266"/>
    <x v="95"/>
    <x v="223"/>
    <x v="212"/>
    <x v="271"/>
    <x v="194"/>
    <x v="219"/>
    <x v="242"/>
    <x v="255"/>
    <x v="212"/>
    <x v="243"/>
    <x v="234"/>
    <x v="229"/>
    <x v="290"/>
  </r>
  <r>
    <x v="0"/>
    <x v="8"/>
    <x v="5"/>
    <x v="167"/>
    <x v="236"/>
    <x v="227"/>
    <x v="211"/>
    <x v="194"/>
    <x v="224"/>
    <x v="256"/>
    <x v="231"/>
    <x v="97"/>
    <x v="220"/>
    <x v="208"/>
    <x v="244"/>
    <x v="214"/>
    <x v="286"/>
    <x v="259"/>
    <x v="234"/>
    <x v="230"/>
    <x v="239"/>
    <x v="267"/>
    <x v="96"/>
    <x v="224"/>
    <x v="213"/>
    <x v="272"/>
    <x v="195"/>
    <x v="220"/>
    <x v="243"/>
    <x v="256"/>
    <x v="235"/>
    <x v="244"/>
    <x v="235"/>
    <x v="230"/>
    <x v="291"/>
  </r>
  <r>
    <x v="1"/>
    <x v="8"/>
    <x v="5"/>
    <x v="199"/>
    <x v="237"/>
    <x v="228"/>
    <x v="210"/>
    <x v="195"/>
    <x v="225"/>
    <x v="257"/>
    <x v="232"/>
    <x v="142"/>
    <x v="221"/>
    <x v="209"/>
    <x v="245"/>
    <x v="215"/>
    <x v="287"/>
    <x v="260"/>
    <x v="237"/>
    <x v="184"/>
    <x v="240"/>
    <x v="268"/>
    <x v="96"/>
    <x v="225"/>
    <x v="214"/>
    <x v="273"/>
    <x v="180"/>
    <x v="221"/>
    <x v="244"/>
    <x v="257"/>
    <x v="236"/>
    <x v="245"/>
    <x v="226"/>
    <x v="229"/>
    <x v="292"/>
  </r>
  <r>
    <x v="2"/>
    <x v="8"/>
    <x v="5"/>
    <x v="200"/>
    <x v="238"/>
    <x v="229"/>
    <x v="212"/>
    <x v="196"/>
    <x v="226"/>
    <x v="258"/>
    <x v="104"/>
    <x v="100"/>
    <x v="222"/>
    <x v="197"/>
    <x v="246"/>
    <x v="216"/>
    <x v="288"/>
    <x v="261"/>
    <x v="238"/>
    <x v="231"/>
    <x v="241"/>
    <x v="269"/>
    <x v="96"/>
    <x v="217"/>
    <x v="215"/>
    <x v="274"/>
    <x v="196"/>
    <x v="222"/>
    <x v="245"/>
    <x v="258"/>
    <x v="206"/>
    <x v="246"/>
    <x v="236"/>
    <x v="231"/>
    <x v="293"/>
  </r>
  <r>
    <x v="0"/>
    <x v="8"/>
    <x v="6"/>
    <x v="174"/>
    <x v="239"/>
    <x v="230"/>
    <x v="213"/>
    <x v="197"/>
    <x v="227"/>
    <x v="259"/>
    <x v="233"/>
    <x v="184"/>
    <x v="217"/>
    <x v="210"/>
    <x v="247"/>
    <x v="217"/>
    <x v="289"/>
    <x v="262"/>
    <x v="239"/>
    <x v="232"/>
    <x v="242"/>
    <x v="270"/>
    <x v="97"/>
    <x v="226"/>
    <x v="216"/>
    <x v="275"/>
    <x v="197"/>
    <x v="223"/>
    <x v="246"/>
    <x v="259"/>
    <x v="237"/>
    <x v="247"/>
    <x v="237"/>
    <x v="232"/>
    <x v="294"/>
  </r>
  <r>
    <x v="1"/>
    <x v="8"/>
    <x v="6"/>
    <x v="201"/>
    <x v="240"/>
    <x v="231"/>
    <x v="214"/>
    <x v="198"/>
    <x v="228"/>
    <x v="260"/>
    <x v="234"/>
    <x v="181"/>
    <x v="221"/>
    <x v="191"/>
    <x v="248"/>
    <x v="218"/>
    <x v="290"/>
    <x v="263"/>
    <x v="240"/>
    <x v="146"/>
    <x v="219"/>
    <x v="271"/>
    <x v="97"/>
    <x v="227"/>
    <x v="217"/>
    <x v="276"/>
    <x v="198"/>
    <x v="224"/>
    <x v="247"/>
    <x v="260"/>
    <x v="233"/>
    <x v="212"/>
    <x v="238"/>
    <x v="233"/>
    <x v="295"/>
  </r>
  <r>
    <x v="2"/>
    <x v="8"/>
    <x v="6"/>
    <x v="202"/>
    <x v="241"/>
    <x v="232"/>
    <x v="215"/>
    <x v="199"/>
    <x v="229"/>
    <x v="261"/>
    <x v="235"/>
    <x v="185"/>
    <x v="223"/>
    <x v="211"/>
    <x v="249"/>
    <x v="219"/>
    <x v="291"/>
    <x v="264"/>
    <x v="241"/>
    <x v="233"/>
    <x v="243"/>
    <x v="272"/>
    <x v="97"/>
    <x v="228"/>
    <x v="218"/>
    <x v="277"/>
    <x v="199"/>
    <x v="225"/>
    <x v="248"/>
    <x v="261"/>
    <x v="238"/>
    <x v="248"/>
    <x v="239"/>
    <x v="234"/>
    <x v="296"/>
  </r>
  <r>
    <x v="0"/>
    <x v="8"/>
    <x v="7"/>
    <x v="165"/>
    <x v="242"/>
    <x v="233"/>
    <x v="215"/>
    <x v="200"/>
    <x v="206"/>
    <x v="262"/>
    <x v="95"/>
    <x v="143"/>
    <x v="224"/>
    <x v="212"/>
    <x v="250"/>
    <x v="220"/>
    <x v="292"/>
    <x v="244"/>
    <x v="242"/>
    <x v="234"/>
    <x v="244"/>
    <x v="273"/>
    <x v="98"/>
    <x v="229"/>
    <x v="219"/>
    <x v="278"/>
    <x v="200"/>
    <x v="226"/>
    <x v="249"/>
    <x v="262"/>
    <x v="239"/>
    <x v="249"/>
    <x v="240"/>
    <x v="235"/>
    <x v="297"/>
  </r>
  <r>
    <x v="1"/>
    <x v="8"/>
    <x v="7"/>
    <x v="203"/>
    <x v="243"/>
    <x v="234"/>
    <x v="216"/>
    <x v="201"/>
    <x v="230"/>
    <x v="263"/>
    <x v="236"/>
    <x v="186"/>
    <x v="225"/>
    <x v="213"/>
    <x v="251"/>
    <x v="221"/>
    <x v="293"/>
    <x v="265"/>
    <x v="243"/>
    <x v="235"/>
    <x v="236"/>
    <x v="274"/>
    <x v="98"/>
    <x v="230"/>
    <x v="218"/>
    <x v="279"/>
    <x v="201"/>
    <x v="224"/>
    <x v="250"/>
    <x v="263"/>
    <x v="240"/>
    <x v="250"/>
    <x v="241"/>
    <x v="236"/>
    <x v="298"/>
  </r>
  <r>
    <x v="2"/>
    <x v="8"/>
    <x v="7"/>
    <x v="204"/>
    <x v="244"/>
    <x v="235"/>
    <x v="217"/>
    <x v="202"/>
    <x v="231"/>
    <x v="94"/>
    <x v="237"/>
    <x v="187"/>
    <x v="226"/>
    <x v="214"/>
    <x v="252"/>
    <x v="219"/>
    <x v="294"/>
    <x v="266"/>
    <x v="244"/>
    <x v="236"/>
    <x v="245"/>
    <x v="275"/>
    <x v="98"/>
    <x v="231"/>
    <x v="220"/>
    <x v="280"/>
    <x v="202"/>
    <x v="227"/>
    <x v="251"/>
    <x v="253"/>
    <x v="230"/>
    <x v="251"/>
    <x v="242"/>
    <x v="232"/>
    <x v="299"/>
  </r>
  <r>
    <x v="0"/>
    <x v="8"/>
    <x v="8"/>
    <x v="190"/>
    <x v="245"/>
    <x v="236"/>
    <x v="218"/>
    <x v="203"/>
    <x v="232"/>
    <x v="113"/>
    <x v="238"/>
    <x v="188"/>
    <x v="227"/>
    <x v="215"/>
    <x v="253"/>
    <x v="222"/>
    <x v="295"/>
    <x v="267"/>
    <x v="245"/>
    <x v="237"/>
    <x v="246"/>
    <x v="276"/>
    <x v="98"/>
    <x v="232"/>
    <x v="221"/>
    <x v="281"/>
    <x v="203"/>
    <x v="228"/>
    <x v="252"/>
    <x v="264"/>
    <x v="241"/>
    <x v="252"/>
    <x v="243"/>
    <x v="237"/>
    <x v="300"/>
  </r>
  <r>
    <x v="1"/>
    <x v="8"/>
    <x v="8"/>
    <x v="203"/>
    <x v="243"/>
    <x v="234"/>
    <x v="219"/>
    <x v="201"/>
    <x v="233"/>
    <x v="26"/>
    <x v="236"/>
    <x v="186"/>
    <x v="225"/>
    <x v="213"/>
    <x v="251"/>
    <x v="221"/>
    <x v="293"/>
    <x v="265"/>
    <x v="243"/>
    <x v="235"/>
    <x v="247"/>
    <x v="277"/>
    <x v="98"/>
    <x v="233"/>
    <x v="222"/>
    <x v="282"/>
    <x v="204"/>
    <x v="224"/>
    <x v="250"/>
    <x v="263"/>
    <x v="233"/>
    <x v="230"/>
    <x v="241"/>
    <x v="236"/>
    <x v="301"/>
  </r>
  <r>
    <x v="2"/>
    <x v="8"/>
    <x v="8"/>
    <x v="204"/>
    <x v="244"/>
    <x v="235"/>
    <x v="217"/>
    <x v="202"/>
    <x v="234"/>
    <x v="264"/>
    <x v="237"/>
    <x v="187"/>
    <x v="226"/>
    <x v="214"/>
    <x v="252"/>
    <x v="219"/>
    <x v="294"/>
    <x v="266"/>
    <x v="246"/>
    <x v="236"/>
    <x v="248"/>
    <x v="278"/>
    <x v="98"/>
    <x v="231"/>
    <x v="220"/>
    <x v="280"/>
    <x v="202"/>
    <x v="227"/>
    <x v="251"/>
    <x v="253"/>
    <x v="242"/>
    <x v="253"/>
    <x v="242"/>
    <x v="232"/>
    <x v="302"/>
  </r>
  <r>
    <x v="0"/>
    <x v="8"/>
    <x v="9"/>
    <x v="205"/>
    <x v="231"/>
    <x v="237"/>
    <x v="217"/>
    <x v="204"/>
    <x v="212"/>
    <x v="265"/>
    <x v="239"/>
    <x v="189"/>
    <x v="228"/>
    <x v="216"/>
    <x v="254"/>
    <x v="223"/>
    <x v="296"/>
    <x v="264"/>
    <x v="247"/>
    <x v="238"/>
    <x v="249"/>
    <x v="279"/>
    <x v="99"/>
    <x v="234"/>
    <x v="223"/>
    <x v="283"/>
    <x v="205"/>
    <x v="229"/>
    <x v="253"/>
    <x v="265"/>
    <x v="243"/>
    <x v="254"/>
    <x v="244"/>
    <x v="238"/>
    <x v="303"/>
  </r>
  <r>
    <x v="1"/>
    <x v="8"/>
    <x v="9"/>
    <x v="206"/>
    <x v="246"/>
    <x v="225"/>
    <x v="216"/>
    <x v="205"/>
    <x v="235"/>
    <x v="266"/>
    <x v="85"/>
    <x v="133"/>
    <x v="229"/>
    <x v="217"/>
    <x v="255"/>
    <x v="224"/>
    <x v="297"/>
    <x v="268"/>
    <x v="248"/>
    <x v="204"/>
    <x v="250"/>
    <x v="280"/>
    <x v="99"/>
    <x v="235"/>
    <x v="224"/>
    <x v="284"/>
    <x v="206"/>
    <x v="226"/>
    <x v="254"/>
    <x v="266"/>
    <x v="233"/>
    <x v="232"/>
    <x v="245"/>
    <x v="239"/>
    <x v="304"/>
  </r>
  <r>
    <x v="2"/>
    <x v="8"/>
    <x v="9"/>
    <x v="207"/>
    <x v="247"/>
    <x v="238"/>
    <x v="220"/>
    <x v="206"/>
    <x v="206"/>
    <x v="267"/>
    <x v="239"/>
    <x v="136"/>
    <x v="230"/>
    <x v="218"/>
    <x v="256"/>
    <x v="225"/>
    <x v="298"/>
    <x v="269"/>
    <x v="249"/>
    <x v="239"/>
    <x v="251"/>
    <x v="281"/>
    <x v="99"/>
    <x v="236"/>
    <x v="225"/>
    <x v="285"/>
    <x v="207"/>
    <x v="230"/>
    <x v="241"/>
    <x v="267"/>
    <x v="244"/>
    <x v="241"/>
    <x v="246"/>
    <x v="240"/>
    <x v="305"/>
  </r>
  <r>
    <x v="0"/>
    <x v="8"/>
    <x v="11"/>
    <x v="184"/>
    <x v="248"/>
    <x v="239"/>
    <x v="219"/>
    <x v="207"/>
    <x v="164"/>
    <x v="268"/>
    <x v="81"/>
    <x v="127"/>
    <x v="231"/>
    <x v="219"/>
    <x v="257"/>
    <x v="226"/>
    <x v="299"/>
    <x v="270"/>
    <x v="250"/>
    <x v="240"/>
    <x v="252"/>
    <x v="282"/>
    <x v="100"/>
    <x v="237"/>
    <x v="226"/>
    <x v="286"/>
    <x v="208"/>
    <x v="231"/>
    <x v="255"/>
    <x v="268"/>
    <x v="245"/>
    <x v="255"/>
    <x v="247"/>
    <x v="241"/>
    <x v="306"/>
  </r>
  <r>
    <x v="1"/>
    <x v="8"/>
    <x v="11"/>
    <x v="208"/>
    <x v="249"/>
    <x v="240"/>
    <x v="221"/>
    <x v="208"/>
    <x v="236"/>
    <x v="269"/>
    <x v="229"/>
    <x v="190"/>
    <x v="232"/>
    <x v="194"/>
    <x v="258"/>
    <x v="227"/>
    <x v="300"/>
    <x v="268"/>
    <x v="251"/>
    <x v="241"/>
    <x v="253"/>
    <x v="283"/>
    <x v="100"/>
    <x v="238"/>
    <x v="227"/>
    <x v="287"/>
    <x v="209"/>
    <x v="232"/>
    <x v="256"/>
    <x v="269"/>
    <x v="201"/>
    <x v="256"/>
    <x v="227"/>
    <x v="242"/>
    <x v="307"/>
  </r>
  <r>
    <x v="2"/>
    <x v="8"/>
    <x v="11"/>
    <x v="178"/>
    <x v="250"/>
    <x v="225"/>
    <x v="222"/>
    <x v="209"/>
    <x v="237"/>
    <x v="270"/>
    <x v="85"/>
    <x v="129"/>
    <x v="233"/>
    <x v="220"/>
    <x v="259"/>
    <x v="228"/>
    <x v="301"/>
    <x v="271"/>
    <x v="252"/>
    <x v="242"/>
    <x v="254"/>
    <x v="265"/>
    <x v="100"/>
    <x v="239"/>
    <x v="228"/>
    <x v="288"/>
    <x v="210"/>
    <x v="233"/>
    <x v="257"/>
    <x v="264"/>
    <x v="246"/>
    <x v="257"/>
    <x v="248"/>
    <x v="243"/>
    <x v="308"/>
  </r>
  <r>
    <x v="0"/>
    <x v="8"/>
    <x v="12"/>
    <x v="207"/>
    <x v="206"/>
    <x v="233"/>
    <x v="223"/>
    <x v="210"/>
    <x v="238"/>
    <x v="271"/>
    <x v="236"/>
    <x v="191"/>
    <x v="234"/>
    <x v="221"/>
    <x v="251"/>
    <x v="229"/>
    <x v="302"/>
    <x v="261"/>
    <x v="253"/>
    <x v="243"/>
    <x v="255"/>
    <x v="284"/>
    <x v="101"/>
    <x v="240"/>
    <x v="229"/>
    <x v="289"/>
    <x v="211"/>
    <x v="234"/>
    <x v="258"/>
    <x v="270"/>
    <x v="247"/>
    <x v="258"/>
    <x v="249"/>
    <x v="244"/>
    <x v="309"/>
  </r>
  <r>
    <x v="1"/>
    <x v="8"/>
    <x v="12"/>
    <x v="182"/>
    <x v="251"/>
    <x v="241"/>
    <x v="224"/>
    <x v="211"/>
    <x v="239"/>
    <x v="272"/>
    <x v="240"/>
    <x v="136"/>
    <x v="219"/>
    <x v="201"/>
    <x v="260"/>
    <x v="230"/>
    <x v="303"/>
    <x v="272"/>
    <x v="254"/>
    <x v="185"/>
    <x v="241"/>
    <x v="285"/>
    <x v="101"/>
    <x v="241"/>
    <x v="211"/>
    <x v="290"/>
    <x v="212"/>
    <x v="231"/>
    <x v="259"/>
    <x v="271"/>
    <x v="248"/>
    <x v="251"/>
    <x v="250"/>
    <x v="245"/>
    <x v="310"/>
  </r>
  <r>
    <x v="2"/>
    <x v="8"/>
    <x v="12"/>
    <x v="177"/>
    <x v="252"/>
    <x v="242"/>
    <x v="225"/>
    <x v="212"/>
    <x v="240"/>
    <x v="273"/>
    <x v="241"/>
    <x v="119"/>
    <x v="235"/>
    <x v="222"/>
    <x v="261"/>
    <x v="231"/>
    <x v="304"/>
    <x v="273"/>
    <x v="255"/>
    <x v="244"/>
    <x v="256"/>
    <x v="286"/>
    <x v="101"/>
    <x v="242"/>
    <x v="230"/>
    <x v="291"/>
    <x v="207"/>
    <x v="235"/>
    <x v="260"/>
    <x v="272"/>
    <x v="249"/>
    <x v="259"/>
    <x v="251"/>
    <x v="246"/>
    <x v="311"/>
  </r>
  <r>
    <x v="0"/>
    <x v="9"/>
    <x v="0"/>
    <x v="209"/>
    <x v="253"/>
    <x v="243"/>
    <x v="226"/>
    <x v="213"/>
    <x v="207"/>
    <x v="180"/>
    <x v="235"/>
    <x v="188"/>
    <x v="236"/>
    <x v="223"/>
    <x v="262"/>
    <x v="232"/>
    <x v="305"/>
    <x v="274"/>
    <x v="256"/>
    <x v="245"/>
    <x v="257"/>
    <x v="287"/>
    <x v="102"/>
    <x v="243"/>
    <x v="231"/>
    <x v="292"/>
    <x v="213"/>
    <x v="236"/>
    <x v="261"/>
    <x v="273"/>
    <x v="250"/>
    <x v="260"/>
    <x v="252"/>
    <x v="247"/>
    <x v="312"/>
  </r>
  <r>
    <x v="1"/>
    <x v="9"/>
    <x v="0"/>
    <x v="210"/>
    <x v="245"/>
    <x v="244"/>
    <x v="227"/>
    <x v="214"/>
    <x v="237"/>
    <x v="274"/>
    <x v="92"/>
    <x v="192"/>
    <x v="224"/>
    <x v="224"/>
    <x v="263"/>
    <x v="233"/>
    <x v="306"/>
    <x v="275"/>
    <x v="257"/>
    <x v="226"/>
    <x v="258"/>
    <x v="288"/>
    <x v="102"/>
    <x v="244"/>
    <x v="227"/>
    <x v="293"/>
    <x v="214"/>
    <x v="234"/>
    <x v="262"/>
    <x v="274"/>
    <x v="251"/>
    <x v="261"/>
    <x v="253"/>
    <x v="248"/>
    <x v="313"/>
  </r>
  <r>
    <x v="2"/>
    <x v="9"/>
    <x v="0"/>
    <x v="211"/>
    <x v="254"/>
    <x v="245"/>
    <x v="226"/>
    <x v="215"/>
    <x v="217"/>
    <x v="24"/>
    <x v="238"/>
    <x v="124"/>
    <x v="237"/>
    <x v="225"/>
    <x v="264"/>
    <x v="234"/>
    <x v="296"/>
    <x v="276"/>
    <x v="258"/>
    <x v="246"/>
    <x v="259"/>
    <x v="289"/>
    <x v="102"/>
    <x v="245"/>
    <x v="225"/>
    <x v="294"/>
    <x v="215"/>
    <x v="237"/>
    <x v="263"/>
    <x v="275"/>
    <x v="252"/>
    <x v="262"/>
    <x v="254"/>
    <x v="249"/>
    <x v="314"/>
  </r>
  <r>
    <x v="0"/>
    <x v="9"/>
    <x v="1"/>
    <x v="197"/>
    <x v="255"/>
    <x v="246"/>
    <x v="228"/>
    <x v="213"/>
    <x v="241"/>
    <x v="97"/>
    <x v="238"/>
    <x v="178"/>
    <x v="238"/>
    <x v="226"/>
    <x v="265"/>
    <x v="235"/>
    <x v="307"/>
    <x v="277"/>
    <x v="259"/>
    <x v="247"/>
    <x v="260"/>
    <x v="290"/>
    <x v="103"/>
    <x v="246"/>
    <x v="232"/>
    <x v="295"/>
    <x v="216"/>
    <x v="238"/>
    <x v="264"/>
    <x v="276"/>
    <x v="253"/>
    <x v="263"/>
    <x v="255"/>
    <x v="243"/>
    <x v="315"/>
  </r>
  <r>
    <x v="1"/>
    <x v="9"/>
    <x v="1"/>
    <x v="212"/>
    <x v="256"/>
    <x v="247"/>
    <x v="229"/>
    <x v="216"/>
    <x v="156"/>
    <x v="275"/>
    <x v="242"/>
    <x v="191"/>
    <x v="239"/>
    <x v="227"/>
    <x v="266"/>
    <x v="236"/>
    <x v="308"/>
    <x v="265"/>
    <x v="249"/>
    <x v="248"/>
    <x v="261"/>
    <x v="291"/>
    <x v="103"/>
    <x v="247"/>
    <x v="233"/>
    <x v="296"/>
    <x v="199"/>
    <x v="239"/>
    <x v="265"/>
    <x v="262"/>
    <x v="254"/>
    <x v="264"/>
    <x v="256"/>
    <x v="240"/>
    <x v="316"/>
  </r>
  <r>
    <x v="2"/>
    <x v="9"/>
    <x v="1"/>
    <x v="213"/>
    <x v="257"/>
    <x v="248"/>
    <x v="228"/>
    <x v="217"/>
    <x v="217"/>
    <x v="276"/>
    <x v="243"/>
    <x v="121"/>
    <x v="240"/>
    <x v="228"/>
    <x v="267"/>
    <x v="215"/>
    <x v="309"/>
    <x v="278"/>
    <x v="260"/>
    <x v="249"/>
    <x v="262"/>
    <x v="292"/>
    <x v="103"/>
    <x v="248"/>
    <x v="234"/>
    <x v="297"/>
    <x v="217"/>
    <x v="240"/>
    <x v="266"/>
    <x v="277"/>
    <x v="255"/>
    <x v="265"/>
    <x v="257"/>
    <x v="250"/>
    <x v="317"/>
  </r>
  <r>
    <x v="0"/>
    <x v="9"/>
    <x v="2"/>
    <x v="214"/>
    <x v="258"/>
    <x v="249"/>
    <x v="230"/>
    <x v="218"/>
    <x v="242"/>
    <x v="277"/>
    <x v="240"/>
    <x v="178"/>
    <x v="241"/>
    <x v="229"/>
    <x v="268"/>
    <x v="237"/>
    <x v="310"/>
    <x v="279"/>
    <x v="261"/>
    <x v="250"/>
    <x v="263"/>
    <x v="293"/>
    <x v="104"/>
    <x v="249"/>
    <x v="235"/>
    <x v="298"/>
    <x v="218"/>
    <x v="241"/>
    <x v="267"/>
    <x v="278"/>
    <x v="256"/>
    <x v="266"/>
    <x v="258"/>
    <x v="251"/>
    <x v="318"/>
  </r>
  <r>
    <x v="1"/>
    <x v="9"/>
    <x v="2"/>
    <x v="215"/>
    <x v="259"/>
    <x v="250"/>
    <x v="231"/>
    <x v="219"/>
    <x v="243"/>
    <x v="214"/>
    <x v="244"/>
    <x v="113"/>
    <x v="242"/>
    <x v="230"/>
    <x v="269"/>
    <x v="224"/>
    <x v="311"/>
    <x v="280"/>
    <x v="262"/>
    <x v="251"/>
    <x v="264"/>
    <x v="294"/>
    <x v="104"/>
    <x v="250"/>
    <x v="236"/>
    <x v="299"/>
    <x v="195"/>
    <x v="242"/>
    <x v="268"/>
    <x v="279"/>
    <x v="217"/>
    <x v="267"/>
    <x v="259"/>
    <x v="252"/>
    <x v="319"/>
  </r>
  <r>
    <x v="2"/>
    <x v="9"/>
    <x v="2"/>
    <x v="216"/>
    <x v="260"/>
    <x v="251"/>
    <x v="232"/>
    <x v="220"/>
    <x v="244"/>
    <x v="278"/>
    <x v="238"/>
    <x v="138"/>
    <x v="243"/>
    <x v="231"/>
    <x v="270"/>
    <x v="238"/>
    <x v="312"/>
    <x v="281"/>
    <x v="263"/>
    <x v="252"/>
    <x v="265"/>
    <x v="295"/>
    <x v="104"/>
    <x v="251"/>
    <x v="237"/>
    <x v="300"/>
    <x v="219"/>
    <x v="243"/>
    <x v="269"/>
    <x v="280"/>
    <x v="257"/>
    <x v="268"/>
    <x v="260"/>
    <x v="253"/>
    <x v="320"/>
  </r>
  <r>
    <x v="0"/>
    <x v="9"/>
    <x v="3"/>
    <x v="176"/>
    <x v="261"/>
    <x v="252"/>
    <x v="233"/>
    <x v="221"/>
    <x v="245"/>
    <x v="89"/>
    <x v="229"/>
    <x v="193"/>
    <x v="244"/>
    <x v="232"/>
    <x v="271"/>
    <x v="239"/>
    <x v="313"/>
    <x v="278"/>
    <x v="264"/>
    <x v="253"/>
    <x v="266"/>
    <x v="296"/>
    <x v="105"/>
    <x v="252"/>
    <x v="238"/>
    <x v="301"/>
    <x v="220"/>
    <x v="244"/>
    <x v="270"/>
    <x v="281"/>
    <x v="258"/>
    <x v="269"/>
    <x v="261"/>
    <x v="254"/>
    <x v="321"/>
  </r>
  <r>
    <x v="1"/>
    <x v="9"/>
    <x v="3"/>
    <x v="217"/>
    <x v="259"/>
    <x v="223"/>
    <x v="234"/>
    <x v="222"/>
    <x v="246"/>
    <x v="279"/>
    <x v="235"/>
    <x v="126"/>
    <x v="245"/>
    <x v="233"/>
    <x v="272"/>
    <x v="240"/>
    <x v="314"/>
    <x v="282"/>
    <x v="265"/>
    <x v="254"/>
    <x v="244"/>
    <x v="297"/>
    <x v="105"/>
    <x v="253"/>
    <x v="239"/>
    <x v="302"/>
    <x v="221"/>
    <x v="245"/>
    <x v="271"/>
    <x v="282"/>
    <x v="259"/>
    <x v="270"/>
    <x v="262"/>
    <x v="255"/>
    <x v="322"/>
  </r>
  <r>
    <x v="2"/>
    <x v="9"/>
    <x v="3"/>
    <x v="218"/>
    <x v="262"/>
    <x v="252"/>
    <x v="235"/>
    <x v="223"/>
    <x v="247"/>
    <x v="280"/>
    <x v="234"/>
    <x v="194"/>
    <x v="246"/>
    <x v="210"/>
    <x v="273"/>
    <x v="241"/>
    <x v="315"/>
    <x v="283"/>
    <x v="266"/>
    <x v="255"/>
    <x v="267"/>
    <x v="298"/>
    <x v="105"/>
    <x v="254"/>
    <x v="240"/>
    <x v="303"/>
    <x v="222"/>
    <x v="246"/>
    <x v="258"/>
    <x v="283"/>
    <x v="260"/>
    <x v="271"/>
    <x v="263"/>
    <x v="256"/>
    <x v="323"/>
  </r>
  <r>
    <x v="0"/>
    <x v="9"/>
    <x v="4"/>
    <x v="218"/>
    <x v="263"/>
    <x v="207"/>
    <x v="236"/>
    <x v="224"/>
    <x v="248"/>
    <x v="96"/>
    <x v="245"/>
    <x v="121"/>
    <x v="247"/>
    <x v="234"/>
    <x v="274"/>
    <x v="241"/>
    <x v="316"/>
    <x v="271"/>
    <x v="267"/>
    <x v="256"/>
    <x v="268"/>
    <x v="299"/>
    <x v="106"/>
    <x v="255"/>
    <x v="241"/>
    <x v="304"/>
    <x v="223"/>
    <x v="247"/>
    <x v="272"/>
    <x v="284"/>
    <x v="261"/>
    <x v="272"/>
    <x v="264"/>
    <x v="257"/>
    <x v="324"/>
  </r>
  <r>
    <x v="1"/>
    <x v="9"/>
    <x v="4"/>
    <x v="219"/>
    <x v="264"/>
    <x v="253"/>
    <x v="237"/>
    <x v="225"/>
    <x v="249"/>
    <x v="281"/>
    <x v="237"/>
    <x v="128"/>
    <x v="248"/>
    <x v="235"/>
    <x v="275"/>
    <x v="242"/>
    <x v="317"/>
    <x v="280"/>
    <x v="268"/>
    <x v="257"/>
    <x v="269"/>
    <x v="300"/>
    <x v="106"/>
    <x v="245"/>
    <x v="242"/>
    <x v="305"/>
    <x v="224"/>
    <x v="248"/>
    <x v="273"/>
    <x v="285"/>
    <x v="262"/>
    <x v="254"/>
    <x v="243"/>
    <x v="254"/>
    <x v="325"/>
  </r>
  <r>
    <x v="2"/>
    <x v="9"/>
    <x v="4"/>
    <x v="220"/>
    <x v="265"/>
    <x v="254"/>
    <x v="238"/>
    <x v="226"/>
    <x v="250"/>
    <x v="282"/>
    <x v="234"/>
    <x v="187"/>
    <x v="249"/>
    <x v="236"/>
    <x v="276"/>
    <x v="243"/>
    <x v="318"/>
    <x v="284"/>
    <x v="269"/>
    <x v="258"/>
    <x v="270"/>
    <x v="301"/>
    <x v="106"/>
    <x v="256"/>
    <x v="243"/>
    <x v="306"/>
    <x v="225"/>
    <x v="245"/>
    <x v="274"/>
    <x v="286"/>
    <x v="263"/>
    <x v="273"/>
    <x v="265"/>
    <x v="258"/>
    <x v="326"/>
  </r>
  <r>
    <x v="0"/>
    <x v="9"/>
    <x v="5"/>
    <x v="221"/>
    <x v="266"/>
    <x v="255"/>
    <x v="237"/>
    <x v="227"/>
    <x v="251"/>
    <x v="283"/>
    <x v="246"/>
    <x v="195"/>
    <x v="250"/>
    <x v="237"/>
    <x v="277"/>
    <x v="244"/>
    <x v="319"/>
    <x v="271"/>
    <x v="270"/>
    <x v="259"/>
    <x v="271"/>
    <x v="302"/>
    <x v="107"/>
    <x v="257"/>
    <x v="244"/>
    <x v="307"/>
    <x v="226"/>
    <x v="249"/>
    <x v="275"/>
    <x v="287"/>
    <x v="264"/>
    <x v="274"/>
    <x v="266"/>
    <x v="259"/>
    <x v="327"/>
  </r>
  <r>
    <x v="1"/>
    <x v="9"/>
    <x v="5"/>
    <x v="222"/>
    <x v="267"/>
    <x v="235"/>
    <x v="239"/>
    <x v="228"/>
    <x v="252"/>
    <x v="284"/>
    <x v="233"/>
    <x v="130"/>
    <x v="251"/>
    <x v="238"/>
    <x v="278"/>
    <x v="245"/>
    <x v="320"/>
    <x v="285"/>
    <x v="271"/>
    <x v="242"/>
    <x v="272"/>
    <x v="276"/>
    <x v="107"/>
    <x v="258"/>
    <x v="245"/>
    <x v="308"/>
    <x v="227"/>
    <x v="250"/>
    <x v="276"/>
    <x v="288"/>
    <x v="265"/>
    <x v="275"/>
    <x v="243"/>
    <x v="260"/>
    <x v="328"/>
  </r>
  <r>
    <x v="2"/>
    <x v="9"/>
    <x v="5"/>
    <x v="223"/>
    <x v="268"/>
    <x v="256"/>
    <x v="240"/>
    <x v="229"/>
    <x v="245"/>
    <x v="285"/>
    <x v="100"/>
    <x v="196"/>
    <x v="252"/>
    <x v="239"/>
    <x v="279"/>
    <x v="246"/>
    <x v="321"/>
    <x v="286"/>
    <x v="272"/>
    <x v="260"/>
    <x v="273"/>
    <x v="303"/>
    <x v="107"/>
    <x v="259"/>
    <x v="246"/>
    <x v="309"/>
    <x v="228"/>
    <x v="251"/>
    <x v="277"/>
    <x v="289"/>
    <x v="243"/>
    <x v="276"/>
    <x v="265"/>
    <x v="261"/>
    <x v="329"/>
  </r>
  <r>
    <x v="0"/>
    <x v="9"/>
    <x v="6"/>
    <x v="224"/>
    <x v="269"/>
    <x v="257"/>
    <x v="241"/>
    <x v="230"/>
    <x v="253"/>
    <x v="58"/>
    <x v="241"/>
    <x v="197"/>
    <x v="253"/>
    <x v="240"/>
    <x v="280"/>
    <x v="247"/>
    <x v="322"/>
    <x v="287"/>
    <x v="273"/>
    <x v="261"/>
    <x v="274"/>
    <x v="304"/>
    <x v="108"/>
    <x v="260"/>
    <x v="247"/>
    <x v="310"/>
    <x v="229"/>
    <x v="252"/>
    <x v="278"/>
    <x v="290"/>
    <x v="266"/>
    <x v="277"/>
    <x v="267"/>
    <x v="262"/>
    <x v="330"/>
  </r>
  <r>
    <x v="1"/>
    <x v="9"/>
    <x v="6"/>
    <x v="225"/>
    <x v="270"/>
    <x v="258"/>
    <x v="242"/>
    <x v="231"/>
    <x v="254"/>
    <x v="286"/>
    <x v="235"/>
    <x v="125"/>
    <x v="254"/>
    <x v="241"/>
    <x v="281"/>
    <x v="248"/>
    <x v="323"/>
    <x v="288"/>
    <x v="274"/>
    <x v="244"/>
    <x v="275"/>
    <x v="279"/>
    <x v="108"/>
    <x v="261"/>
    <x v="248"/>
    <x v="311"/>
    <x v="230"/>
    <x v="253"/>
    <x v="279"/>
    <x v="291"/>
    <x v="267"/>
    <x v="278"/>
    <x v="244"/>
    <x v="263"/>
    <x v="331"/>
  </r>
  <r>
    <x v="2"/>
    <x v="9"/>
    <x v="6"/>
    <x v="226"/>
    <x v="271"/>
    <x v="259"/>
    <x v="243"/>
    <x v="210"/>
    <x v="255"/>
    <x v="287"/>
    <x v="100"/>
    <x v="124"/>
    <x v="255"/>
    <x v="242"/>
    <x v="282"/>
    <x v="249"/>
    <x v="324"/>
    <x v="289"/>
    <x v="275"/>
    <x v="262"/>
    <x v="276"/>
    <x v="305"/>
    <x v="108"/>
    <x v="262"/>
    <x v="247"/>
    <x v="312"/>
    <x v="231"/>
    <x v="252"/>
    <x v="280"/>
    <x v="292"/>
    <x v="268"/>
    <x v="279"/>
    <x v="268"/>
    <x v="264"/>
    <x v="332"/>
  </r>
  <r>
    <x v="0"/>
    <x v="9"/>
    <x v="7"/>
    <x v="227"/>
    <x v="272"/>
    <x v="260"/>
    <x v="244"/>
    <x v="232"/>
    <x v="256"/>
    <x v="288"/>
    <x v="247"/>
    <x v="198"/>
    <x v="256"/>
    <x v="243"/>
    <x v="283"/>
    <x v="250"/>
    <x v="325"/>
    <x v="281"/>
    <x v="276"/>
    <x v="263"/>
    <x v="277"/>
    <x v="306"/>
    <x v="109"/>
    <x v="263"/>
    <x v="249"/>
    <x v="313"/>
    <x v="232"/>
    <x v="254"/>
    <x v="281"/>
    <x v="293"/>
    <x v="269"/>
    <x v="280"/>
    <x v="269"/>
    <x v="265"/>
    <x v="333"/>
  </r>
  <r>
    <x v="1"/>
    <x v="9"/>
    <x v="7"/>
    <x v="228"/>
    <x v="240"/>
    <x v="261"/>
    <x v="245"/>
    <x v="233"/>
    <x v="257"/>
    <x v="289"/>
    <x v="248"/>
    <x v="199"/>
    <x v="257"/>
    <x v="244"/>
    <x v="284"/>
    <x v="251"/>
    <x v="326"/>
    <x v="290"/>
    <x v="277"/>
    <x v="264"/>
    <x v="278"/>
    <x v="307"/>
    <x v="109"/>
    <x v="264"/>
    <x v="250"/>
    <x v="314"/>
    <x v="200"/>
    <x v="255"/>
    <x v="282"/>
    <x v="294"/>
    <x v="250"/>
    <x v="273"/>
    <x v="270"/>
    <x v="266"/>
    <x v="334"/>
  </r>
  <r>
    <x v="2"/>
    <x v="9"/>
    <x v="7"/>
    <x v="229"/>
    <x v="273"/>
    <x v="262"/>
    <x v="246"/>
    <x v="234"/>
    <x v="258"/>
    <x v="236"/>
    <x v="249"/>
    <x v="122"/>
    <x v="258"/>
    <x v="216"/>
    <x v="278"/>
    <x v="252"/>
    <x v="327"/>
    <x v="291"/>
    <x v="278"/>
    <x v="265"/>
    <x v="279"/>
    <x v="308"/>
    <x v="109"/>
    <x v="265"/>
    <x v="251"/>
    <x v="315"/>
    <x v="233"/>
    <x v="256"/>
    <x v="283"/>
    <x v="295"/>
    <x v="270"/>
    <x v="281"/>
    <x v="271"/>
    <x v="262"/>
    <x v="335"/>
  </r>
  <r>
    <x v="0"/>
    <x v="9"/>
    <x v="8"/>
    <x v="230"/>
    <x v="274"/>
    <x v="263"/>
    <x v="247"/>
    <x v="235"/>
    <x v="259"/>
    <x v="290"/>
    <x v="250"/>
    <x v="116"/>
    <x v="259"/>
    <x v="245"/>
    <x v="285"/>
    <x v="253"/>
    <x v="328"/>
    <x v="292"/>
    <x v="279"/>
    <x v="266"/>
    <x v="280"/>
    <x v="309"/>
    <x v="110"/>
    <x v="266"/>
    <x v="252"/>
    <x v="316"/>
    <x v="234"/>
    <x v="257"/>
    <x v="284"/>
    <x v="296"/>
    <x v="271"/>
    <x v="282"/>
    <x v="272"/>
    <x v="267"/>
    <x v="336"/>
  </r>
  <r>
    <x v="1"/>
    <x v="9"/>
    <x v="8"/>
    <x v="231"/>
    <x v="275"/>
    <x v="264"/>
    <x v="248"/>
    <x v="236"/>
    <x v="260"/>
    <x v="291"/>
    <x v="107"/>
    <x v="190"/>
    <x v="258"/>
    <x v="246"/>
    <x v="286"/>
    <x v="254"/>
    <x v="329"/>
    <x v="293"/>
    <x v="280"/>
    <x v="267"/>
    <x v="281"/>
    <x v="310"/>
    <x v="110"/>
    <x v="267"/>
    <x v="253"/>
    <x v="317"/>
    <x v="235"/>
    <x v="254"/>
    <x v="285"/>
    <x v="297"/>
    <x v="258"/>
    <x v="276"/>
    <x v="273"/>
    <x v="268"/>
    <x v="337"/>
  </r>
  <r>
    <x v="2"/>
    <x v="9"/>
    <x v="8"/>
    <x v="232"/>
    <x v="276"/>
    <x v="265"/>
    <x v="249"/>
    <x v="197"/>
    <x v="261"/>
    <x v="292"/>
    <x v="251"/>
    <x v="189"/>
    <x v="260"/>
    <x v="247"/>
    <x v="287"/>
    <x v="255"/>
    <x v="330"/>
    <x v="294"/>
    <x v="281"/>
    <x v="268"/>
    <x v="282"/>
    <x v="311"/>
    <x v="110"/>
    <x v="268"/>
    <x v="248"/>
    <x v="318"/>
    <x v="236"/>
    <x v="258"/>
    <x v="286"/>
    <x v="298"/>
    <x v="272"/>
    <x v="272"/>
    <x v="274"/>
    <x v="265"/>
    <x v="338"/>
  </r>
  <r>
    <x v="0"/>
    <x v="9"/>
    <x v="9"/>
    <x v="233"/>
    <x v="277"/>
    <x v="226"/>
    <x v="250"/>
    <x v="237"/>
    <x v="262"/>
    <x v="293"/>
    <x v="252"/>
    <x v="200"/>
    <x v="261"/>
    <x v="248"/>
    <x v="288"/>
    <x v="256"/>
    <x v="331"/>
    <x v="295"/>
    <x v="282"/>
    <x v="269"/>
    <x v="283"/>
    <x v="312"/>
    <x v="111"/>
    <x v="269"/>
    <x v="254"/>
    <x v="319"/>
    <x v="237"/>
    <x v="259"/>
    <x v="287"/>
    <x v="299"/>
    <x v="273"/>
    <x v="283"/>
    <x v="275"/>
    <x v="269"/>
    <x v="339"/>
  </r>
  <r>
    <x v="1"/>
    <x v="9"/>
    <x v="9"/>
    <x v="234"/>
    <x v="278"/>
    <x v="266"/>
    <x v="251"/>
    <x v="238"/>
    <x v="261"/>
    <x v="294"/>
    <x v="253"/>
    <x v="201"/>
    <x v="262"/>
    <x v="249"/>
    <x v="289"/>
    <x v="257"/>
    <x v="332"/>
    <x v="296"/>
    <x v="283"/>
    <x v="234"/>
    <x v="284"/>
    <x v="313"/>
    <x v="111"/>
    <x v="270"/>
    <x v="255"/>
    <x v="320"/>
    <x v="238"/>
    <x v="260"/>
    <x v="261"/>
    <x v="300"/>
    <x v="274"/>
    <x v="279"/>
    <x v="263"/>
    <x v="265"/>
    <x v="340"/>
  </r>
  <r>
    <x v="2"/>
    <x v="9"/>
    <x v="9"/>
    <x v="235"/>
    <x v="240"/>
    <x v="264"/>
    <x v="250"/>
    <x v="239"/>
    <x v="263"/>
    <x v="295"/>
    <x v="254"/>
    <x v="136"/>
    <x v="263"/>
    <x v="250"/>
    <x v="290"/>
    <x v="258"/>
    <x v="333"/>
    <x v="297"/>
    <x v="284"/>
    <x v="270"/>
    <x v="285"/>
    <x v="314"/>
    <x v="111"/>
    <x v="271"/>
    <x v="256"/>
    <x v="321"/>
    <x v="239"/>
    <x v="261"/>
    <x v="288"/>
    <x v="301"/>
    <x v="275"/>
    <x v="284"/>
    <x v="276"/>
    <x v="270"/>
    <x v="341"/>
  </r>
  <r>
    <x v="0"/>
    <x v="9"/>
    <x v="11"/>
    <x v="236"/>
    <x v="279"/>
    <x v="267"/>
    <x v="252"/>
    <x v="240"/>
    <x v="264"/>
    <x v="296"/>
    <x v="118"/>
    <x v="125"/>
    <x v="264"/>
    <x v="251"/>
    <x v="291"/>
    <x v="259"/>
    <x v="334"/>
    <x v="263"/>
    <x v="285"/>
    <x v="271"/>
    <x v="286"/>
    <x v="315"/>
    <x v="112"/>
    <x v="272"/>
    <x v="257"/>
    <x v="322"/>
    <x v="240"/>
    <x v="262"/>
    <x v="289"/>
    <x v="302"/>
    <x v="276"/>
    <x v="285"/>
    <x v="277"/>
    <x v="271"/>
    <x v="342"/>
  </r>
  <r>
    <x v="1"/>
    <x v="9"/>
    <x v="11"/>
    <x v="237"/>
    <x v="280"/>
    <x v="268"/>
    <x v="252"/>
    <x v="219"/>
    <x v="265"/>
    <x v="297"/>
    <x v="255"/>
    <x v="201"/>
    <x v="265"/>
    <x v="252"/>
    <x v="292"/>
    <x v="260"/>
    <x v="335"/>
    <x v="298"/>
    <x v="286"/>
    <x v="272"/>
    <x v="287"/>
    <x v="316"/>
    <x v="112"/>
    <x v="273"/>
    <x v="258"/>
    <x v="323"/>
    <x v="208"/>
    <x v="263"/>
    <x v="290"/>
    <x v="303"/>
    <x v="277"/>
    <x v="286"/>
    <x v="278"/>
    <x v="268"/>
    <x v="343"/>
  </r>
  <r>
    <x v="2"/>
    <x v="9"/>
    <x v="11"/>
    <x v="238"/>
    <x v="281"/>
    <x v="269"/>
    <x v="252"/>
    <x v="241"/>
    <x v="266"/>
    <x v="30"/>
    <x v="256"/>
    <x v="127"/>
    <x v="266"/>
    <x v="253"/>
    <x v="293"/>
    <x v="261"/>
    <x v="336"/>
    <x v="299"/>
    <x v="287"/>
    <x v="273"/>
    <x v="288"/>
    <x v="317"/>
    <x v="112"/>
    <x v="274"/>
    <x v="259"/>
    <x v="324"/>
    <x v="225"/>
    <x v="264"/>
    <x v="291"/>
    <x v="304"/>
    <x v="278"/>
    <x v="287"/>
    <x v="279"/>
    <x v="272"/>
    <x v="344"/>
  </r>
  <r>
    <x v="0"/>
    <x v="9"/>
    <x v="12"/>
    <x v="239"/>
    <x v="282"/>
    <x v="270"/>
    <x v="253"/>
    <x v="242"/>
    <x v="234"/>
    <x v="298"/>
    <x v="256"/>
    <x v="128"/>
    <x v="267"/>
    <x v="254"/>
    <x v="281"/>
    <x v="262"/>
    <x v="337"/>
    <x v="294"/>
    <x v="288"/>
    <x v="274"/>
    <x v="289"/>
    <x v="318"/>
    <x v="113"/>
    <x v="275"/>
    <x v="260"/>
    <x v="325"/>
    <x v="241"/>
    <x v="265"/>
    <x v="292"/>
    <x v="305"/>
    <x v="279"/>
    <x v="288"/>
    <x v="280"/>
    <x v="273"/>
    <x v="345"/>
  </r>
  <r>
    <x v="1"/>
    <x v="9"/>
    <x v="12"/>
    <x v="240"/>
    <x v="283"/>
    <x v="271"/>
    <x v="254"/>
    <x v="243"/>
    <x v="267"/>
    <x v="299"/>
    <x v="257"/>
    <x v="190"/>
    <x v="268"/>
    <x v="255"/>
    <x v="294"/>
    <x v="263"/>
    <x v="338"/>
    <x v="300"/>
    <x v="289"/>
    <x v="275"/>
    <x v="290"/>
    <x v="319"/>
    <x v="113"/>
    <x v="276"/>
    <x v="261"/>
    <x v="326"/>
    <x v="224"/>
    <x v="266"/>
    <x v="293"/>
    <x v="299"/>
    <x v="261"/>
    <x v="289"/>
    <x v="281"/>
    <x v="268"/>
    <x v="346"/>
  </r>
  <r>
    <x v="2"/>
    <x v="9"/>
    <x v="12"/>
    <x v="241"/>
    <x v="284"/>
    <x v="272"/>
    <x v="255"/>
    <x v="244"/>
    <x v="268"/>
    <x v="300"/>
    <x v="258"/>
    <x v="132"/>
    <x v="269"/>
    <x v="256"/>
    <x v="295"/>
    <x v="264"/>
    <x v="339"/>
    <x v="301"/>
    <x v="290"/>
    <x v="276"/>
    <x v="277"/>
    <x v="304"/>
    <x v="113"/>
    <x v="277"/>
    <x v="262"/>
    <x v="327"/>
    <x v="242"/>
    <x v="267"/>
    <x v="294"/>
    <x v="306"/>
    <x v="280"/>
    <x v="290"/>
    <x v="282"/>
    <x v="274"/>
    <x v="347"/>
  </r>
  <r>
    <x v="0"/>
    <x v="10"/>
    <x v="0"/>
    <x v="242"/>
    <x v="285"/>
    <x v="273"/>
    <x v="256"/>
    <x v="213"/>
    <x v="269"/>
    <x v="301"/>
    <x v="94"/>
    <x v="113"/>
    <x v="270"/>
    <x v="257"/>
    <x v="296"/>
    <x v="249"/>
    <x v="340"/>
    <x v="299"/>
    <x v="291"/>
    <x v="277"/>
    <x v="291"/>
    <x v="320"/>
    <x v="114"/>
    <x v="278"/>
    <x v="263"/>
    <x v="328"/>
    <x v="243"/>
    <x v="268"/>
    <x v="295"/>
    <x v="307"/>
    <x v="281"/>
    <x v="291"/>
    <x v="283"/>
    <x v="271"/>
    <x v="348"/>
  </r>
  <r>
    <x v="1"/>
    <x v="10"/>
    <x v="0"/>
    <x v="243"/>
    <x v="286"/>
    <x v="274"/>
    <x v="257"/>
    <x v="245"/>
    <x v="270"/>
    <x v="302"/>
    <x v="88"/>
    <x v="202"/>
    <x v="271"/>
    <x v="220"/>
    <x v="297"/>
    <x v="265"/>
    <x v="341"/>
    <x v="302"/>
    <x v="292"/>
    <x v="278"/>
    <x v="292"/>
    <x v="321"/>
    <x v="114"/>
    <x v="279"/>
    <x v="264"/>
    <x v="329"/>
    <x v="205"/>
    <x v="269"/>
    <x v="296"/>
    <x v="308"/>
    <x v="261"/>
    <x v="292"/>
    <x v="284"/>
    <x v="275"/>
    <x v="349"/>
  </r>
  <r>
    <x v="2"/>
    <x v="10"/>
    <x v="0"/>
    <x v="244"/>
    <x v="260"/>
    <x v="275"/>
    <x v="258"/>
    <x v="246"/>
    <x v="239"/>
    <x v="262"/>
    <x v="259"/>
    <x v="200"/>
    <x v="272"/>
    <x v="258"/>
    <x v="298"/>
    <x v="266"/>
    <x v="342"/>
    <x v="257"/>
    <x v="293"/>
    <x v="279"/>
    <x v="293"/>
    <x v="322"/>
    <x v="114"/>
    <x v="280"/>
    <x v="262"/>
    <x v="330"/>
    <x v="244"/>
    <x v="270"/>
    <x v="289"/>
    <x v="309"/>
    <x v="282"/>
    <x v="293"/>
    <x v="285"/>
    <x v="272"/>
    <x v="350"/>
  </r>
  <r>
    <x v="0"/>
    <x v="10"/>
    <x v="1"/>
    <x v="245"/>
    <x v="256"/>
    <x v="276"/>
    <x v="259"/>
    <x v="247"/>
    <x v="271"/>
    <x v="303"/>
    <x v="116"/>
    <x v="195"/>
    <x v="273"/>
    <x v="259"/>
    <x v="299"/>
    <x v="267"/>
    <x v="343"/>
    <x v="285"/>
    <x v="294"/>
    <x v="280"/>
    <x v="294"/>
    <x v="323"/>
    <x v="115"/>
    <x v="281"/>
    <x v="265"/>
    <x v="331"/>
    <x v="245"/>
    <x v="271"/>
    <x v="297"/>
    <x v="310"/>
    <x v="283"/>
    <x v="294"/>
    <x v="286"/>
    <x v="276"/>
    <x v="351"/>
  </r>
  <r>
    <x v="1"/>
    <x v="10"/>
    <x v="1"/>
    <x v="246"/>
    <x v="287"/>
    <x v="277"/>
    <x v="260"/>
    <x v="195"/>
    <x v="272"/>
    <x v="304"/>
    <x v="113"/>
    <x v="136"/>
    <x v="264"/>
    <x v="260"/>
    <x v="300"/>
    <x v="268"/>
    <x v="344"/>
    <x v="303"/>
    <x v="295"/>
    <x v="281"/>
    <x v="295"/>
    <x v="324"/>
    <x v="115"/>
    <x v="282"/>
    <x v="260"/>
    <x v="332"/>
    <x v="246"/>
    <x v="272"/>
    <x v="298"/>
    <x v="311"/>
    <x v="284"/>
    <x v="295"/>
    <x v="287"/>
    <x v="277"/>
    <x v="352"/>
  </r>
  <r>
    <x v="2"/>
    <x v="10"/>
    <x v="1"/>
    <x v="247"/>
    <x v="288"/>
    <x v="259"/>
    <x v="261"/>
    <x v="236"/>
    <x v="273"/>
    <x v="305"/>
    <x v="255"/>
    <x v="124"/>
    <x v="274"/>
    <x v="261"/>
    <x v="301"/>
    <x v="269"/>
    <x v="345"/>
    <x v="304"/>
    <x v="296"/>
    <x v="259"/>
    <x v="296"/>
    <x v="325"/>
    <x v="115"/>
    <x v="283"/>
    <x v="266"/>
    <x v="333"/>
    <x v="247"/>
    <x v="273"/>
    <x v="299"/>
    <x v="312"/>
    <x v="285"/>
    <x v="296"/>
    <x v="288"/>
    <x v="278"/>
    <x v="353"/>
  </r>
  <r>
    <x v="0"/>
    <x v="10"/>
    <x v="2"/>
    <x v="248"/>
    <x v="256"/>
    <x v="276"/>
    <x v="259"/>
    <x v="248"/>
    <x v="271"/>
    <x v="303"/>
    <x v="256"/>
    <x v="195"/>
    <x v="273"/>
    <x v="259"/>
    <x v="299"/>
    <x v="267"/>
    <x v="346"/>
    <x v="305"/>
    <x v="294"/>
    <x v="280"/>
    <x v="294"/>
    <x v="323"/>
    <x v="115"/>
    <x v="281"/>
    <x v="267"/>
    <x v="334"/>
    <x v="245"/>
    <x v="271"/>
    <x v="297"/>
    <x v="310"/>
    <x v="283"/>
    <x v="294"/>
    <x v="286"/>
    <x v="276"/>
    <x v="351"/>
  </r>
  <r>
    <x v="1"/>
    <x v="10"/>
    <x v="2"/>
    <x v="246"/>
    <x v="287"/>
    <x v="277"/>
    <x v="260"/>
    <x v="195"/>
    <x v="272"/>
    <x v="306"/>
    <x v="113"/>
    <x v="136"/>
    <x v="264"/>
    <x v="260"/>
    <x v="300"/>
    <x v="270"/>
    <x v="347"/>
    <x v="303"/>
    <x v="297"/>
    <x v="281"/>
    <x v="295"/>
    <x v="326"/>
    <x v="115"/>
    <x v="282"/>
    <x v="268"/>
    <x v="335"/>
    <x v="246"/>
    <x v="274"/>
    <x v="298"/>
    <x v="313"/>
    <x v="284"/>
    <x v="295"/>
    <x v="287"/>
    <x v="277"/>
    <x v="352"/>
  </r>
  <r>
    <x v="2"/>
    <x v="10"/>
    <x v="2"/>
    <x v="247"/>
    <x v="288"/>
    <x v="259"/>
    <x v="261"/>
    <x v="249"/>
    <x v="273"/>
    <x v="259"/>
    <x v="260"/>
    <x v="124"/>
    <x v="274"/>
    <x v="261"/>
    <x v="301"/>
    <x v="269"/>
    <x v="348"/>
    <x v="304"/>
    <x v="282"/>
    <x v="259"/>
    <x v="296"/>
    <x v="327"/>
    <x v="115"/>
    <x v="283"/>
    <x v="257"/>
    <x v="336"/>
    <x v="247"/>
    <x v="273"/>
    <x v="299"/>
    <x v="312"/>
    <x v="285"/>
    <x v="296"/>
    <x v="288"/>
    <x v="278"/>
    <x v="354"/>
  </r>
  <r>
    <x v="0"/>
    <x v="10"/>
    <x v="3"/>
    <x v="243"/>
    <x v="282"/>
    <x v="249"/>
    <x v="262"/>
    <x v="250"/>
    <x v="274"/>
    <x v="307"/>
    <x v="261"/>
    <x v="186"/>
    <x v="275"/>
    <x v="262"/>
    <x v="302"/>
    <x v="253"/>
    <x v="349"/>
    <x v="304"/>
    <x v="298"/>
    <x v="282"/>
    <x v="297"/>
    <x v="328"/>
    <x v="116"/>
    <x v="284"/>
    <x v="269"/>
    <x v="337"/>
    <x v="248"/>
    <x v="275"/>
    <x v="300"/>
    <x v="314"/>
    <x v="286"/>
    <x v="297"/>
    <x v="289"/>
    <x v="279"/>
    <x v="355"/>
  </r>
  <r>
    <x v="1"/>
    <x v="10"/>
    <x v="3"/>
    <x v="249"/>
    <x v="275"/>
    <x v="278"/>
    <x v="263"/>
    <x v="251"/>
    <x v="275"/>
    <x v="308"/>
    <x v="262"/>
    <x v="190"/>
    <x v="276"/>
    <x v="208"/>
    <x v="303"/>
    <x v="271"/>
    <x v="350"/>
    <x v="306"/>
    <x v="299"/>
    <x v="283"/>
    <x v="298"/>
    <x v="329"/>
    <x v="116"/>
    <x v="285"/>
    <x v="266"/>
    <x v="338"/>
    <x v="211"/>
    <x v="276"/>
    <x v="301"/>
    <x v="315"/>
    <x v="287"/>
    <x v="298"/>
    <x v="264"/>
    <x v="280"/>
    <x v="356"/>
  </r>
  <r>
    <x v="2"/>
    <x v="10"/>
    <x v="3"/>
    <x v="244"/>
    <x v="289"/>
    <x v="255"/>
    <x v="264"/>
    <x v="252"/>
    <x v="276"/>
    <x v="258"/>
    <x v="263"/>
    <x v="192"/>
    <x v="277"/>
    <x v="263"/>
    <x v="304"/>
    <x v="272"/>
    <x v="351"/>
    <x v="298"/>
    <x v="300"/>
    <x v="284"/>
    <x v="299"/>
    <x v="330"/>
    <x v="116"/>
    <x v="286"/>
    <x v="270"/>
    <x v="339"/>
    <x v="249"/>
    <x v="277"/>
    <x v="302"/>
    <x v="316"/>
    <x v="288"/>
    <x v="299"/>
    <x v="290"/>
    <x v="281"/>
    <x v="357"/>
  </r>
  <r>
    <x v="0"/>
    <x v="10"/>
    <x v="4"/>
    <x v="250"/>
    <x v="290"/>
    <x v="279"/>
    <x v="265"/>
    <x v="253"/>
    <x v="277"/>
    <x v="309"/>
    <x v="122"/>
    <x v="136"/>
    <x v="278"/>
    <x v="264"/>
    <x v="305"/>
    <x v="273"/>
    <x v="352"/>
    <x v="307"/>
    <x v="301"/>
    <x v="285"/>
    <x v="300"/>
    <x v="331"/>
    <x v="117"/>
    <x v="287"/>
    <x v="271"/>
    <x v="340"/>
    <x v="250"/>
    <x v="278"/>
    <x v="303"/>
    <x v="317"/>
    <x v="289"/>
    <x v="300"/>
    <x v="291"/>
    <x v="282"/>
    <x v="358"/>
  </r>
  <r>
    <x v="1"/>
    <x v="10"/>
    <x v="4"/>
    <x v="246"/>
    <x v="268"/>
    <x v="280"/>
    <x v="266"/>
    <x v="254"/>
    <x v="278"/>
    <x v="310"/>
    <x v="102"/>
    <x v="203"/>
    <x v="279"/>
    <x v="265"/>
    <x v="306"/>
    <x v="274"/>
    <x v="353"/>
    <x v="308"/>
    <x v="302"/>
    <x v="286"/>
    <x v="301"/>
    <x v="332"/>
    <x v="117"/>
    <x v="288"/>
    <x v="272"/>
    <x v="341"/>
    <x v="251"/>
    <x v="279"/>
    <x v="304"/>
    <x v="318"/>
    <x v="290"/>
    <x v="301"/>
    <x v="292"/>
    <x v="283"/>
    <x v="359"/>
  </r>
  <r>
    <x v="2"/>
    <x v="10"/>
    <x v="4"/>
    <x v="251"/>
    <x v="291"/>
    <x v="281"/>
    <x v="267"/>
    <x v="255"/>
    <x v="279"/>
    <x v="162"/>
    <x v="115"/>
    <x v="202"/>
    <x v="280"/>
    <x v="266"/>
    <x v="307"/>
    <x v="275"/>
    <x v="354"/>
    <x v="309"/>
    <x v="303"/>
    <x v="287"/>
    <x v="302"/>
    <x v="333"/>
    <x v="117"/>
    <x v="289"/>
    <x v="260"/>
    <x v="342"/>
    <x v="252"/>
    <x v="280"/>
    <x v="305"/>
    <x v="319"/>
    <x v="291"/>
    <x v="288"/>
    <x v="293"/>
    <x v="284"/>
    <x v="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D24" firstHeaderRow="1" firstDataRow="2" firstDataCol="1"/>
  <pivotFields count="18">
    <pivotField compact="0" showAll="0">
      <items count="4">
        <item x="0"/>
        <item x="1"/>
        <item x="2"/>
        <item t="default"/>
      </items>
    </pivotField>
    <pivotField axis="axisCol" compact="0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compact="0" showAl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compact="0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compact="0" showAll="0">
      <items count="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compact="0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compact="0" showAll="0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compact="0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compact="0"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compact="0" showAll="0">
      <items count="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dataField="1" compact="0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 v="9"/>
    </i>
    <i>
      <x v="10"/>
    </i>
    <i t="grand">
      <x/>
    </i>
  </colItems>
  <dataFields count="1">
    <dataField name="Sum of Sum_Food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6:AN71" firstHeaderRow="1" firstDataRow="3" firstDataCol="1"/>
  <pivotFields count="18">
    <pivotField compact="0" showAll="0">
      <items count="4">
        <item x="0"/>
        <item x="2"/>
        <item x="1"/>
        <item t="default"/>
      </items>
    </pivotField>
    <pivotField axis="axisCol" compact="0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dataField="1" compact="0" showAl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dataField="1" compact="0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dataField="1"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dataField="1" compact="0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dataField="1" compact="0" showAll="0">
      <items count="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dataField="1" compact="0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dataField="1"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dataField="1" compact="0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dataField="1" compact="0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dataField="1" compact="0" showAll="0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dataField="1" compact="0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dataField="1" compact="0"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dataField="1" compact="0" showAll="0">
      <items count="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-2"/>
  </colFields>
  <colItems count="39"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</colItems>
  <dataFields count="13">
    <dataField name="Sum of Cereals and products" fld="3" baseField="0" baseItem="0"/>
    <dataField name="Sum of Oils and fats" fld="7" baseField="0" baseItem="0"/>
    <dataField name="Sum of Milk and products" fld="6" baseField="0" baseItem="0"/>
    <dataField name="Sum of Vegetables" fld="9" baseField="0" baseItem="0"/>
    <dataField name="Sum of Egg" fld="5" baseField="0" baseItem="0"/>
    <dataField name="Sum of Pulses and products" fld="10" baseField="0" baseItem="0"/>
    <dataField name="Sum of Spices" fld="12" baseField="0" baseItem="0"/>
    <dataField name="Sum of Fruits" fld="8" baseField="0" baseItem="0"/>
    <dataField name="Sum of Sugar and Confectionery" fld="11" baseField="0" baseItem="0"/>
    <dataField name="Sum of Food and beverages" fld="15" baseField="0" baseItem="0"/>
    <dataField name="Sum of Non-alcoholic beverages" fld="13" baseField="0" baseItem="0"/>
    <dataField name="Sum of Prepared meals, snacks, sweets etc." fld="14" baseField="0" baseItem="0"/>
    <dataField name="Sum of Meat and fish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G25" firstHeaderRow="1" firstDataRow="3" firstDataCol="1"/>
  <pivotFields count="6">
    <pivotField compact="0" showAll="0">
      <items count="4">
        <item x="0"/>
        <item x="2"/>
        <item x="1"/>
        <item t="default"/>
      </items>
    </pivotField>
    <pivotField axis="axisCol" compact="0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dataField="1" compact="0" showAll="0">
      <items count="356">
        <item x="0"/>
        <item x="2"/>
        <item x="1"/>
        <item x="3"/>
        <item x="6"/>
        <item x="8"/>
        <item x="5"/>
        <item x="9"/>
        <item x="7"/>
        <item x="11"/>
        <item x="4"/>
        <item x="12"/>
        <item x="10"/>
        <item x="14"/>
        <item x="13"/>
        <item x="15"/>
        <item x="17"/>
        <item x="18"/>
        <item x="20"/>
        <item x="21"/>
        <item x="16"/>
        <item x="40"/>
        <item x="23"/>
        <item x="41"/>
        <item x="39"/>
        <item x="43"/>
        <item x="37"/>
        <item x="38"/>
        <item x="36"/>
        <item x="44"/>
        <item x="24"/>
        <item x="19"/>
        <item x="42"/>
        <item x="26"/>
        <item x="25"/>
        <item x="46"/>
        <item x="45"/>
        <item x="34"/>
        <item x="22"/>
        <item x="35"/>
        <item x="27"/>
        <item x="33"/>
        <item x="29"/>
        <item x="47"/>
        <item x="28"/>
        <item x="49"/>
        <item x="48"/>
        <item x="50"/>
        <item x="52"/>
        <item x="30"/>
        <item x="32"/>
        <item x="31"/>
        <item x="51"/>
        <item x="53"/>
        <item x="77"/>
        <item x="70"/>
        <item x="78"/>
        <item x="72"/>
        <item x="75"/>
        <item x="67"/>
        <item x="73"/>
        <item x="74"/>
        <item x="76"/>
        <item x="69"/>
        <item x="71"/>
        <item x="80"/>
        <item x="79"/>
        <item x="55"/>
        <item x="68"/>
        <item x="62"/>
        <item x="65"/>
        <item x="56"/>
        <item x="64"/>
        <item x="59"/>
        <item x="61"/>
        <item x="63"/>
        <item x="81"/>
        <item x="66"/>
        <item x="83"/>
        <item x="60"/>
        <item x="58"/>
        <item x="82"/>
        <item x="54"/>
        <item x="57"/>
        <item x="84"/>
        <item x="86"/>
        <item x="87"/>
        <item x="89"/>
        <item x="85"/>
        <item x="88"/>
        <item x="90"/>
        <item x="92"/>
        <item x="93"/>
        <item x="95"/>
        <item x="91"/>
        <item x="94"/>
        <item x="112"/>
        <item x="96"/>
        <item x="113"/>
        <item x="109"/>
        <item x="110"/>
        <item x="98"/>
        <item x="102"/>
        <item x="108"/>
        <item x="111"/>
        <item x="104"/>
        <item x="99"/>
        <item x="105"/>
        <item x="107"/>
        <item x="101"/>
        <item x="97"/>
        <item x="103"/>
        <item x="116"/>
        <item x="106"/>
        <item x="114"/>
        <item x="145"/>
        <item x="148"/>
        <item x="115"/>
        <item x="151"/>
        <item x="100"/>
        <item x="154"/>
        <item x="142"/>
        <item x="184"/>
        <item x="152"/>
        <item x="149"/>
        <item x="155"/>
        <item x="187"/>
        <item x="146"/>
        <item x="190"/>
        <item x="117"/>
        <item x="150"/>
        <item x="143"/>
        <item x="153"/>
        <item x="181"/>
        <item x="147"/>
        <item x="139"/>
        <item x="119"/>
        <item x="157"/>
        <item x="144"/>
        <item x="158"/>
        <item x="141"/>
        <item x="156"/>
        <item x="140"/>
        <item x="213"/>
        <item x="210"/>
        <item x="118"/>
        <item x="192"/>
        <item x="178"/>
        <item x="201"/>
        <item x="120"/>
        <item x="138"/>
        <item x="166"/>
        <item x="214"/>
        <item x="204"/>
        <item x="215"/>
        <item x="136"/>
        <item x="185"/>
        <item x="130"/>
        <item x="188"/>
        <item x="207"/>
        <item x="212"/>
        <item x="137"/>
        <item x="182"/>
        <item x="122"/>
        <item x="216"/>
        <item x="211"/>
        <item x="133"/>
        <item x="131"/>
        <item x="135"/>
        <item x="169"/>
        <item x="134"/>
        <item x="175"/>
        <item x="198"/>
        <item x="160"/>
        <item x="217"/>
        <item x="161"/>
        <item x="167"/>
        <item x="123"/>
        <item x="129"/>
        <item x="195"/>
        <item x="132"/>
        <item x="159"/>
        <item x="163"/>
        <item x="209"/>
        <item x="193"/>
        <item x="208"/>
        <item x="205"/>
        <item x="126"/>
        <item x="128"/>
        <item x="202"/>
        <item x="170"/>
        <item x="179"/>
        <item x="186"/>
        <item x="180"/>
        <item x="183"/>
        <item x="218"/>
        <item x="203"/>
        <item x="189"/>
        <item x="125"/>
        <item x="164"/>
        <item x="127"/>
        <item x="165"/>
        <item x="121"/>
        <item x="206"/>
        <item x="191"/>
        <item x="168"/>
        <item x="219"/>
        <item x="162"/>
        <item x="176"/>
        <item x="196"/>
        <item x="172"/>
        <item x="199"/>
        <item x="200"/>
        <item x="177"/>
        <item x="220"/>
        <item x="173"/>
        <item x="194"/>
        <item x="124"/>
        <item x="174"/>
        <item x="222"/>
        <item x="171"/>
        <item x="197"/>
        <item x="223"/>
        <item x="221"/>
        <item x="226"/>
        <item x="225"/>
        <item x="228"/>
        <item x="229"/>
        <item x="224"/>
        <item x="231"/>
        <item x="227"/>
        <item x="230"/>
        <item x="232"/>
        <item x="234"/>
        <item x="247"/>
        <item x="249"/>
        <item x="248"/>
        <item x="233"/>
        <item x="235"/>
        <item x="244"/>
        <item x="237"/>
        <item x="246"/>
        <item x="245"/>
        <item x="236"/>
        <item x="241"/>
        <item x="243"/>
        <item x="238"/>
        <item x="250"/>
        <item x="242"/>
        <item x="240"/>
        <item x="252"/>
        <item x="253"/>
        <item x="239"/>
        <item x="251"/>
        <item x="255"/>
        <item x="256"/>
        <item x="259"/>
        <item x="254"/>
        <item x="258"/>
        <item x="261"/>
        <item x="257"/>
        <item x="274"/>
        <item x="277"/>
        <item x="262"/>
        <item x="276"/>
        <item x="279"/>
        <item x="260"/>
        <item x="264"/>
        <item x="280"/>
        <item x="282"/>
        <item x="278"/>
        <item x="271"/>
        <item x="275"/>
        <item x="273"/>
        <item x="263"/>
        <item x="265"/>
        <item x="281"/>
        <item x="283"/>
        <item x="267"/>
        <item x="272"/>
        <item x="268"/>
        <item x="285"/>
        <item x="270"/>
        <item x="266"/>
        <item x="286"/>
        <item x="284"/>
        <item x="269"/>
        <item x="292"/>
        <item x="289"/>
        <item x="295"/>
        <item x="288"/>
        <item x="294"/>
        <item x="291"/>
        <item x="307"/>
        <item x="305"/>
        <item x="287"/>
        <item x="293"/>
        <item x="309"/>
        <item x="296"/>
        <item x="302"/>
        <item x="290"/>
        <item x="298"/>
        <item x="310"/>
        <item x="304"/>
        <item x="299"/>
        <item x="308"/>
        <item x="312"/>
        <item x="306"/>
        <item x="301"/>
        <item x="311"/>
        <item x="297"/>
        <item x="303"/>
        <item x="313"/>
        <item x="315"/>
        <item x="300"/>
        <item x="316"/>
        <item x="314"/>
        <item x="318"/>
        <item x="319"/>
        <item x="322"/>
        <item x="325"/>
        <item x="321"/>
        <item x="317"/>
        <item x="343"/>
        <item x="346"/>
        <item x="324"/>
        <item x="328"/>
        <item x="327"/>
        <item x="349"/>
        <item x="337"/>
        <item x="345"/>
        <item x="348"/>
        <item x="330"/>
        <item x="340"/>
        <item x="339"/>
        <item x="331"/>
        <item x="320"/>
        <item x="334"/>
        <item x="351"/>
        <item x="352"/>
        <item x="323"/>
        <item x="342"/>
        <item x="326"/>
        <item x="338"/>
        <item x="336"/>
        <item x="333"/>
        <item x="344"/>
        <item x="347"/>
        <item x="329"/>
        <item x="354"/>
        <item x="341"/>
        <item x="335"/>
        <item x="350"/>
        <item x="332"/>
        <item x="353"/>
        <item t="default"/>
      </items>
    </pivotField>
    <pivotField dataField="1" compact="0" showAll="0">
      <items count="321">
        <item x="6"/>
        <item x="8"/>
        <item x="1"/>
        <item x="2"/>
        <item x="0"/>
        <item x="9"/>
        <item x="7"/>
        <item x="3"/>
        <item x="5"/>
        <item x="4"/>
        <item x="10"/>
        <item x="11"/>
        <item x="12"/>
        <item x="14"/>
        <item x="13"/>
        <item x="16"/>
        <item x="17"/>
        <item x="15"/>
        <item x="19"/>
        <item x="20"/>
        <item x="18"/>
        <item x="22"/>
        <item x="25"/>
        <item x="23"/>
        <item x="26"/>
        <item x="28"/>
        <item x="21"/>
        <item x="24"/>
        <item x="29"/>
        <item x="27"/>
        <item x="31"/>
        <item x="32"/>
        <item x="30"/>
        <item x="34"/>
        <item x="37"/>
        <item x="35"/>
        <item x="33"/>
        <item x="38"/>
        <item x="42"/>
        <item x="36"/>
        <item x="41"/>
        <item x="40"/>
        <item x="39"/>
        <item x="44"/>
        <item x="45"/>
        <item x="43"/>
        <item x="50"/>
        <item x="54"/>
        <item x="47"/>
        <item x="48"/>
        <item x="46"/>
        <item x="49"/>
        <item x="52"/>
        <item x="51"/>
        <item x="53"/>
        <item x="56"/>
        <item x="58"/>
        <item x="55"/>
        <item x="61"/>
        <item x="59"/>
        <item x="66"/>
        <item x="57"/>
        <item x="69"/>
        <item x="62"/>
        <item x="64"/>
        <item x="72"/>
        <item x="60"/>
        <item x="76"/>
        <item x="67"/>
        <item x="63"/>
        <item x="70"/>
        <item x="65"/>
        <item x="80"/>
        <item x="73"/>
        <item x="83"/>
        <item x="68"/>
        <item x="86"/>
        <item x="88"/>
        <item x="78"/>
        <item x="71"/>
        <item x="74"/>
        <item x="75"/>
        <item x="81"/>
        <item x="84"/>
        <item x="77"/>
        <item x="91"/>
        <item x="79"/>
        <item x="89"/>
        <item x="82"/>
        <item x="85"/>
        <item x="96"/>
        <item x="87"/>
        <item x="99"/>
        <item x="92"/>
        <item x="102"/>
        <item x="94"/>
        <item x="105"/>
        <item x="90"/>
        <item x="97"/>
        <item x="108"/>
        <item x="93"/>
        <item x="111"/>
        <item x="100"/>
        <item x="116"/>
        <item x="103"/>
        <item x="95"/>
        <item x="122"/>
        <item x="125"/>
        <item x="106"/>
        <item x="98"/>
        <item x="128"/>
        <item x="101"/>
        <item x="109"/>
        <item x="135"/>
        <item x="112"/>
        <item x="104"/>
        <item x="118"/>
        <item x="114"/>
        <item x="120"/>
        <item x="107"/>
        <item x="123"/>
        <item x="126"/>
        <item x="139"/>
        <item x="110"/>
        <item x="129"/>
        <item x="131"/>
        <item x="117"/>
        <item x="113"/>
        <item x="133"/>
        <item x="119"/>
        <item x="144"/>
        <item x="115"/>
        <item x="146"/>
        <item x="136"/>
        <item x="121"/>
        <item x="124"/>
        <item x="149"/>
        <item x="127"/>
        <item x="130"/>
        <item x="132"/>
        <item x="152"/>
        <item x="140"/>
        <item x="134"/>
        <item x="155"/>
        <item x="142"/>
        <item x="137"/>
        <item x="158"/>
        <item x="145"/>
        <item x="147"/>
        <item x="138"/>
        <item x="150"/>
        <item x="163"/>
        <item x="153"/>
        <item x="141"/>
        <item x="166"/>
        <item x="156"/>
        <item x="169"/>
        <item x="143"/>
        <item x="159"/>
        <item x="148"/>
        <item x="151"/>
        <item x="161"/>
        <item x="154"/>
        <item x="164"/>
        <item x="174"/>
        <item x="167"/>
        <item x="177"/>
        <item x="170"/>
        <item x="157"/>
        <item x="179"/>
        <item x="172"/>
        <item x="182"/>
        <item x="160"/>
        <item x="162"/>
        <item x="165"/>
        <item x="168"/>
        <item x="185"/>
        <item x="188"/>
        <item x="171"/>
        <item x="191"/>
        <item x="194"/>
        <item x="175"/>
        <item x="197"/>
        <item x="180"/>
        <item x="183"/>
        <item x="176"/>
        <item x="173"/>
        <item x="200"/>
        <item x="189"/>
        <item x="186"/>
        <item x="192"/>
        <item x="203"/>
        <item x="195"/>
        <item x="206"/>
        <item x="209"/>
        <item x="178"/>
        <item x="181"/>
        <item x="212"/>
        <item x="198"/>
        <item x="187"/>
        <item x="184"/>
        <item x="190"/>
        <item x="215"/>
        <item x="193"/>
        <item x="201"/>
        <item x="218"/>
        <item x="196"/>
        <item x="204"/>
        <item x="207"/>
        <item x="224"/>
        <item x="210"/>
        <item x="221"/>
        <item x="213"/>
        <item x="199"/>
        <item x="216"/>
        <item x="202"/>
        <item x="205"/>
        <item x="208"/>
        <item x="219"/>
        <item x="211"/>
        <item x="225"/>
        <item x="222"/>
        <item x="214"/>
        <item x="223"/>
        <item x="217"/>
        <item x="227"/>
        <item x="220"/>
        <item x="230"/>
        <item x="228"/>
        <item x="236"/>
        <item x="231"/>
        <item x="226"/>
        <item x="233"/>
        <item x="239"/>
        <item x="242"/>
        <item x="245"/>
        <item x="229"/>
        <item x="248"/>
        <item x="237"/>
        <item x="234"/>
        <item x="240"/>
        <item x="243"/>
        <item x="251"/>
        <item x="235"/>
        <item x="246"/>
        <item x="232"/>
        <item x="238"/>
        <item x="249"/>
        <item x="250"/>
        <item x="254"/>
        <item x="241"/>
        <item x="244"/>
        <item x="257"/>
        <item x="247"/>
        <item x="252"/>
        <item x="260"/>
        <item x="263"/>
        <item x="266"/>
        <item x="255"/>
        <item x="258"/>
        <item x="269"/>
        <item x="261"/>
        <item x="271"/>
        <item x="253"/>
        <item x="274"/>
        <item x="256"/>
        <item x="267"/>
        <item x="259"/>
        <item x="262"/>
        <item x="264"/>
        <item x="272"/>
        <item x="265"/>
        <item x="275"/>
        <item x="279"/>
        <item x="268"/>
        <item x="277"/>
        <item x="270"/>
        <item x="282"/>
        <item x="273"/>
        <item x="285"/>
        <item x="276"/>
        <item x="288"/>
        <item x="280"/>
        <item x="291"/>
        <item x="283"/>
        <item x="286"/>
        <item x="278"/>
        <item x="294"/>
        <item x="289"/>
        <item x="297"/>
        <item x="292"/>
        <item x="281"/>
        <item x="284"/>
        <item x="300"/>
        <item x="287"/>
        <item x="295"/>
        <item x="290"/>
        <item x="298"/>
        <item x="303"/>
        <item x="293"/>
        <item x="301"/>
        <item x="296"/>
        <item x="299"/>
        <item x="304"/>
        <item x="302"/>
        <item x="306"/>
        <item x="308"/>
        <item x="305"/>
        <item x="309"/>
        <item x="311"/>
        <item x="313"/>
        <item x="307"/>
        <item x="312"/>
        <item x="315"/>
        <item x="310"/>
        <item x="318"/>
        <item x="316"/>
        <item x="319"/>
        <item x="314"/>
        <item x="317"/>
        <item t="default"/>
      </items>
    </pivotField>
    <pivotField dataField="1" compact="0" showAll="0">
      <items count="344">
        <item x="1"/>
        <item x="0"/>
        <item x="3"/>
        <item x="4"/>
        <item x="2"/>
        <item x="5"/>
        <item x="6"/>
        <item x="8"/>
        <item x="7"/>
        <item x="9"/>
        <item x="10"/>
        <item x="13"/>
        <item x="11"/>
        <item x="12"/>
        <item x="14"/>
        <item x="15"/>
        <item x="17"/>
        <item x="18"/>
        <item x="16"/>
        <item x="20"/>
        <item x="21"/>
        <item x="19"/>
        <item x="23"/>
        <item x="25"/>
        <item x="28"/>
        <item x="22"/>
        <item x="26"/>
        <item x="29"/>
        <item x="31"/>
        <item x="24"/>
        <item x="27"/>
        <item x="32"/>
        <item x="34"/>
        <item x="37"/>
        <item x="30"/>
        <item x="35"/>
        <item x="40"/>
        <item x="33"/>
        <item x="38"/>
        <item x="45"/>
        <item x="42"/>
        <item x="36"/>
        <item x="43"/>
        <item x="39"/>
        <item x="48"/>
        <item x="46"/>
        <item x="41"/>
        <item x="51"/>
        <item x="44"/>
        <item x="54"/>
        <item x="49"/>
        <item x="57"/>
        <item x="52"/>
        <item x="47"/>
        <item x="60"/>
        <item x="63"/>
        <item x="55"/>
        <item x="50"/>
        <item x="66"/>
        <item x="58"/>
        <item x="53"/>
        <item x="64"/>
        <item x="69"/>
        <item x="61"/>
        <item x="56"/>
        <item x="72"/>
        <item x="67"/>
        <item x="62"/>
        <item x="75"/>
        <item x="59"/>
        <item x="78"/>
        <item x="81"/>
        <item x="70"/>
        <item x="65"/>
        <item x="84"/>
        <item x="73"/>
        <item x="86"/>
        <item x="89"/>
        <item x="76"/>
        <item x="68"/>
        <item x="92"/>
        <item x="79"/>
        <item x="71"/>
        <item x="82"/>
        <item x="74"/>
        <item x="98"/>
        <item x="104"/>
        <item x="101"/>
        <item x="77"/>
        <item x="87"/>
        <item x="109"/>
        <item x="80"/>
        <item x="90"/>
        <item x="114"/>
        <item x="83"/>
        <item x="93"/>
        <item x="119"/>
        <item x="95"/>
        <item x="96"/>
        <item x="85"/>
        <item x="88"/>
        <item x="124"/>
        <item x="99"/>
        <item x="127"/>
        <item x="91"/>
        <item x="102"/>
        <item x="105"/>
        <item x="130"/>
        <item x="107"/>
        <item x="94"/>
        <item x="110"/>
        <item x="133"/>
        <item x="112"/>
        <item x="97"/>
        <item x="115"/>
        <item x="144"/>
        <item x="136"/>
        <item x="117"/>
        <item x="141"/>
        <item x="100"/>
        <item x="138"/>
        <item x="147"/>
        <item x="103"/>
        <item x="120"/>
        <item x="106"/>
        <item x="150"/>
        <item x="122"/>
        <item x="108"/>
        <item x="125"/>
        <item x="111"/>
        <item x="128"/>
        <item x="153"/>
        <item x="113"/>
        <item x="131"/>
        <item x="116"/>
        <item x="134"/>
        <item x="156"/>
        <item x="118"/>
        <item x="121"/>
        <item x="145"/>
        <item x="123"/>
        <item x="139"/>
        <item x="142"/>
        <item x="159"/>
        <item x="126"/>
        <item x="148"/>
        <item x="129"/>
        <item x="162"/>
        <item x="151"/>
        <item x="165"/>
        <item x="132"/>
        <item x="168"/>
        <item x="171"/>
        <item x="174"/>
        <item x="135"/>
        <item x="154"/>
        <item x="177"/>
        <item x="137"/>
        <item x="143"/>
        <item x="140"/>
        <item x="180"/>
        <item x="157"/>
        <item x="146"/>
        <item x="183"/>
        <item x="149"/>
        <item x="160"/>
        <item x="186"/>
        <item x="163"/>
        <item x="152"/>
        <item x="189"/>
        <item x="166"/>
        <item x="204"/>
        <item x="201"/>
        <item x="169"/>
        <item x="155"/>
        <item x="172"/>
        <item x="207"/>
        <item x="192"/>
        <item x="198"/>
        <item x="217"/>
        <item x="215"/>
        <item x="175"/>
        <item x="210"/>
        <item x="220"/>
        <item x="213"/>
        <item x="178"/>
        <item x="181"/>
        <item x="158"/>
        <item x="195"/>
        <item x="223"/>
        <item x="161"/>
        <item x="184"/>
        <item x="164"/>
        <item x="167"/>
        <item x="170"/>
        <item x="226"/>
        <item x="187"/>
        <item x="229"/>
        <item x="190"/>
        <item x="173"/>
        <item x="232"/>
        <item x="176"/>
        <item x="179"/>
        <item x="205"/>
        <item x="202"/>
        <item x="241"/>
        <item x="199"/>
        <item x="208"/>
        <item x="182"/>
        <item x="211"/>
        <item x="196"/>
        <item x="193"/>
        <item x="218"/>
        <item x="221"/>
        <item x="185"/>
        <item x="237"/>
        <item x="240"/>
        <item x="188"/>
        <item x="224"/>
        <item x="249"/>
        <item x="246"/>
        <item x="252"/>
        <item x="227"/>
        <item x="255"/>
        <item x="230"/>
        <item x="242"/>
        <item x="191"/>
        <item x="203"/>
        <item x="200"/>
        <item x="233"/>
        <item x="197"/>
        <item x="194"/>
        <item x="206"/>
        <item x="258"/>
        <item x="209"/>
        <item x="212"/>
        <item x="244"/>
        <item x="214"/>
        <item x="247"/>
        <item x="216"/>
        <item x="250"/>
        <item x="235"/>
        <item x="219"/>
        <item x="238"/>
        <item x="239"/>
        <item x="253"/>
        <item x="222"/>
        <item x="256"/>
        <item x="225"/>
        <item x="243"/>
        <item x="228"/>
        <item x="245"/>
        <item x="248"/>
        <item x="261"/>
        <item x="259"/>
        <item x="231"/>
        <item x="251"/>
        <item x="234"/>
        <item x="236"/>
        <item x="254"/>
        <item x="264"/>
        <item x="257"/>
        <item x="262"/>
        <item x="267"/>
        <item x="273"/>
        <item x="265"/>
        <item x="270"/>
        <item x="268"/>
        <item x="260"/>
        <item x="276"/>
        <item x="263"/>
        <item x="266"/>
        <item x="274"/>
        <item x="271"/>
        <item x="279"/>
        <item x="282"/>
        <item x="277"/>
        <item x="284"/>
        <item x="287"/>
        <item x="290"/>
        <item x="272"/>
        <item x="269"/>
        <item x="280"/>
        <item x="293"/>
        <item x="275"/>
        <item x="296"/>
        <item x="278"/>
        <item x="285"/>
        <item x="281"/>
        <item x="288"/>
        <item x="291"/>
        <item x="299"/>
        <item x="294"/>
        <item x="283"/>
        <item x="286"/>
        <item x="289"/>
        <item x="297"/>
        <item x="292"/>
        <item x="300"/>
        <item x="302"/>
        <item x="295"/>
        <item x="298"/>
        <item x="305"/>
        <item x="303"/>
        <item x="308"/>
        <item x="306"/>
        <item x="301"/>
        <item x="309"/>
        <item x="311"/>
        <item x="314"/>
        <item x="304"/>
        <item x="317"/>
        <item x="307"/>
        <item x="312"/>
        <item x="315"/>
        <item x="320"/>
        <item x="318"/>
        <item x="326"/>
        <item x="310"/>
        <item x="323"/>
        <item x="329"/>
        <item x="313"/>
        <item x="321"/>
        <item x="316"/>
        <item x="324"/>
        <item x="327"/>
        <item x="335"/>
        <item x="332"/>
        <item x="319"/>
        <item x="338"/>
        <item x="330"/>
        <item x="341"/>
        <item x="322"/>
        <item x="336"/>
        <item x="333"/>
        <item x="325"/>
        <item x="339"/>
        <item x="328"/>
        <item x="334"/>
        <item x="342"/>
        <item x="331"/>
        <item x="337"/>
        <item x="34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-2"/>
  </colFields>
  <colItems count="6">
    <i>
      <x v="8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HealthCare" fld="4" baseField="0" baseItem="0"/>
    <dataField name="Sum of Food" fld="3" baseField="0" baseItem="0"/>
    <dataField name="Sum of Essential Services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E24" firstHeaderRow="1" firstDataRow="2" firstDataCol="1"/>
  <pivotFields count="35">
    <pivotField compact="0" showAll="0">
      <items count="4">
        <item x="0"/>
        <item x="1"/>
        <item x="2"/>
        <item t="default"/>
      </items>
    </pivotField>
    <pivotField axis="axisCol" compact="0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compact="0" showAl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compact="0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compact="0" showAll="0">
      <items count="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compact="0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compact="0" showAll="0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compact="0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compact="0"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compact="0" showAll="0">
      <items count="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compact="0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compact="0" showAll="0">
      <items count="3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compact="0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dataField="1" compact="0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compact="0" showAll="0">
      <items count="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compact="0" showAll="0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compact="0" showAll="0">
      <items count="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compact="0"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compact="0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compact="0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 v="8"/>
    </i>
    <i>
      <x v="9"/>
    </i>
    <i>
      <x v="10"/>
    </i>
    <i t="grand">
      <x/>
    </i>
  </colItems>
  <dataFields count="1">
    <dataField name="Sum of Fuel and light" fld="2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0:S25" firstHeaderRow="1" firstDataRow="3" firstDataCol="1"/>
  <pivotFields count="35">
    <pivotField compact="0" showAll="0">
      <items count="4">
        <item x="0"/>
        <item x="2"/>
        <item x="1"/>
        <item t="default"/>
      </items>
    </pivotField>
    <pivotField axis="axisCol" compact="0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compact="0" showAl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compact="0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compact="0" showAll="0">
      <items count="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compact="0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compact="0" showAll="0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compact="0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compact="0" showAll="0">
      <items count="3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compact="0" showAll="0">
      <items count="2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dataField="1" compact="0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compact="0" showAll="0">
      <items count="3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compact="0" showAll="0">
      <items count="2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compact="0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dataField="1" compact="0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compact="0" showAll="0">
      <items count="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compact="0" showAll="0">
      <items count="2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compact="0" showAll="0">
      <items count="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dataField="1" compact="0"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compact="0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compact="0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-2"/>
  </colFields>
  <colItems count="12"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Food" fld="16" baseField="0" baseItem="0"/>
    <dataField name="Sum of HealthCare" fld="29" baseField="0" baseItem="0"/>
    <dataField name="Sum of Essential Services" fld="2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opLeftCell="D1" workbookViewId="0">
      <selection activeCell="D1" sqref="D1:N4"/>
    </sheetView>
  </sheetViews>
  <sheetFormatPr defaultColWidth="8.88888888888889" defaultRowHeight="14.4"/>
  <cols>
    <col min="1" max="1" width="12.1111111111111" customWidth="1"/>
    <col min="2" max="2" width="5.66666666666667" customWidth="1"/>
    <col min="3" max="3" width="7.44444444444444" customWidth="1"/>
    <col min="4" max="4" width="7.66666666666667" customWidth="1"/>
    <col min="5" max="5" width="27.8888888888889" customWidth="1"/>
    <col min="6" max="6" width="15.8888888888889" customWidth="1"/>
    <col min="7" max="7" width="10.7777777777778" customWidth="1"/>
    <col min="8" max="8" width="13.2222222222222" customWidth="1"/>
    <col min="9" max="9" width="29.2222222222222" customWidth="1"/>
    <col min="10" max="10" width="11" customWidth="1"/>
    <col min="11" max="11" width="10.1111111111111" customWidth="1"/>
    <col min="12" max="12" width="26.6666666666667" customWidth="1"/>
    <col min="13" max="13" width="14" customWidth="1"/>
    <col min="14" max="14" width="13.5555555555556" customWidth="1"/>
  </cols>
  <sheetData>
    <row r="1" ht="16" customHeight="1" spans="1:14">
      <c r="A1" s="31" t="s">
        <v>0</v>
      </c>
      <c r="B1" s="31" t="s">
        <v>1</v>
      </c>
      <c r="C1" s="31" t="s">
        <v>2</v>
      </c>
      <c r="D1" s="73" t="s">
        <v>3</v>
      </c>
      <c r="E1" s="31" t="s">
        <v>4</v>
      </c>
      <c r="F1" s="74" t="s">
        <v>5</v>
      </c>
      <c r="G1" s="74" t="s">
        <v>6</v>
      </c>
      <c r="H1" s="31" t="s">
        <v>7</v>
      </c>
      <c r="I1" s="31" t="s">
        <v>8</v>
      </c>
      <c r="J1" s="74" t="s">
        <v>9</v>
      </c>
      <c r="K1" s="31" t="s">
        <v>10</v>
      </c>
      <c r="L1" s="31" t="s">
        <v>11</v>
      </c>
      <c r="M1" s="31" t="s">
        <v>12</v>
      </c>
      <c r="N1" s="31" t="s">
        <v>13</v>
      </c>
    </row>
    <row r="2" ht="16" customHeight="1" spans="1:14">
      <c r="A2" s="3" t="s">
        <v>14</v>
      </c>
      <c r="B2" s="3">
        <v>2023</v>
      </c>
      <c r="C2" s="3" t="s">
        <v>15</v>
      </c>
      <c r="D2" s="68">
        <v>2290.7</v>
      </c>
      <c r="E2" s="3">
        <v>199.9</v>
      </c>
      <c r="F2" s="69">
        <v>569.9</v>
      </c>
      <c r="G2" s="69">
        <v>355.4</v>
      </c>
      <c r="H2" s="3">
        <v>182.5</v>
      </c>
      <c r="I2" s="3">
        <v>169.7</v>
      </c>
      <c r="J2" s="68">
        <v>372.7</v>
      </c>
      <c r="K2" s="3">
        <v>180.3</v>
      </c>
      <c r="L2" s="3">
        <v>173.8</v>
      </c>
      <c r="M2" s="3">
        <v>179.5</v>
      </c>
      <c r="N2" s="3">
        <v>179.8</v>
      </c>
    </row>
    <row r="3" ht="16" customHeight="1" spans="1:14">
      <c r="A3" s="3" t="s">
        <v>16</v>
      </c>
      <c r="B3" s="3">
        <v>2023</v>
      </c>
      <c r="C3" s="3" t="s">
        <v>15</v>
      </c>
      <c r="D3" s="68">
        <v>2335.1</v>
      </c>
      <c r="E3" s="3">
        <v>204.2</v>
      </c>
      <c r="F3" s="69">
        <v>528.7</v>
      </c>
      <c r="G3" s="69">
        <v>345.7</v>
      </c>
      <c r="H3" s="3">
        <v>183.4</v>
      </c>
      <c r="I3" s="3">
        <v>160.4</v>
      </c>
      <c r="J3" s="68">
        <v>367.8</v>
      </c>
      <c r="K3" s="3">
        <v>174.8</v>
      </c>
      <c r="L3" s="3">
        <v>169.2</v>
      </c>
      <c r="M3" s="3">
        <v>171.6</v>
      </c>
      <c r="N3" s="3">
        <v>178.2</v>
      </c>
    </row>
    <row r="4" ht="16" customHeight="1" spans="1:14">
      <c r="A4" s="3" t="s">
        <v>17</v>
      </c>
      <c r="B4" s="3">
        <v>2023</v>
      </c>
      <c r="C4" s="3" t="s">
        <v>15</v>
      </c>
      <c r="D4" s="68">
        <v>2306.9</v>
      </c>
      <c r="E4" s="3">
        <v>201</v>
      </c>
      <c r="F4" s="69">
        <v>553.2</v>
      </c>
      <c r="G4" s="69">
        <v>350.8</v>
      </c>
      <c r="H4" s="3">
        <v>182.8</v>
      </c>
      <c r="I4" s="3">
        <v>164.8</v>
      </c>
      <c r="J4" s="68">
        <v>370.9</v>
      </c>
      <c r="K4" s="3">
        <v>177.1</v>
      </c>
      <c r="L4" s="3">
        <v>171.2</v>
      </c>
      <c r="M4" s="3">
        <v>175.7</v>
      </c>
      <c r="N4" s="3">
        <v>179.1</v>
      </c>
    </row>
    <row r="5" ht="16" customHeight="1" spans="4:14">
      <c r="D5" s="80">
        <f t="shared" ref="D5:N5" si="0">SUM(D2:D4)</f>
        <v>6932.7</v>
      </c>
      <c r="E5" s="80">
        <f t="shared" si="0"/>
        <v>605.1</v>
      </c>
      <c r="F5" s="80">
        <f t="shared" si="0"/>
        <v>1651.8</v>
      </c>
      <c r="G5" s="80">
        <f t="shared" si="0"/>
        <v>1051.9</v>
      </c>
      <c r="H5" s="80">
        <f t="shared" si="0"/>
        <v>548.7</v>
      </c>
      <c r="I5" s="80">
        <f t="shared" si="0"/>
        <v>494.9</v>
      </c>
      <c r="J5" s="80">
        <f t="shared" si="0"/>
        <v>1111.4</v>
      </c>
      <c r="K5" s="80">
        <f t="shared" si="0"/>
        <v>532.2</v>
      </c>
      <c r="L5" s="80">
        <f t="shared" si="0"/>
        <v>514.2</v>
      </c>
      <c r="M5" s="80">
        <f t="shared" si="0"/>
        <v>526.8</v>
      </c>
      <c r="N5" s="80">
        <f t="shared" si="0"/>
        <v>537.1</v>
      </c>
    </row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0"/>
  <sheetViews>
    <sheetView workbookViewId="0">
      <selection activeCell="E1" sqref="E1"/>
    </sheetView>
  </sheetViews>
  <sheetFormatPr defaultColWidth="8.88888888888889" defaultRowHeight="14.4"/>
  <cols>
    <col min="1" max="1" width="12.1111111111111" customWidth="1"/>
    <col min="2" max="2" width="5.66666666666667" customWidth="1"/>
    <col min="3" max="3" width="10.7777777777778" customWidth="1"/>
    <col min="5" max="5" width="13" customWidth="1"/>
    <col min="6" max="6" width="18.1111111111111" customWidth="1"/>
    <col min="9" max="9" width="26" customWidth="1"/>
    <col min="10" max="10" width="12.8888888888889"/>
    <col min="11" max="11" width="17.7777777777778" customWidth="1"/>
    <col min="12" max="12" width="21.5555555555556" customWidth="1"/>
  </cols>
  <sheetData>
    <row r="1" spans="1:6">
      <c r="A1" s="31" t="s">
        <v>0</v>
      </c>
      <c r="B1" s="31" t="s">
        <v>1</v>
      </c>
      <c r="C1" s="31" t="s">
        <v>2</v>
      </c>
      <c r="D1" s="31" t="s">
        <v>3</v>
      </c>
      <c r="E1" s="31" t="s">
        <v>9</v>
      </c>
      <c r="F1" s="31" t="s">
        <v>18</v>
      </c>
    </row>
    <row r="2" spans="1:6">
      <c r="A2" s="3" t="s">
        <v>14</v>
      </c>
      <c r="B2" s="3">
        <v>2013</v>
      </c>
      <c r="C2" s="3" t="s">
        <v>19</v>
      </c>
      <c r="D2" s="3">
        <v>1371.7</v>
      </c>
      <c r="E2" s="3">
        <v>208.7</v>
      </c>
      <c r="F2" s="3">
        <v>310.6</v>
      </c>
    </row>
    <row r="3" spans="1:6">
      <c r="A3" s="3" t="s">
        <v>16</v>
      </c>
      <c r="B3" s="3">
        <v>2013</v>
      </c>
      <c r="C3" s="3" t="s">
        <v>19</v>
      </c>
      <c r="D3" s="3">
        <v>1376.4</v>
      </c>
      <c r="E3" s="3">
        <v>208.4</v>
      </c>
      <c r="F3" s="3">
        <v>310.5</v>
      </c>
    </row>
    <row r="4" spans="1:6">
      <c r="A4" s="3" t="s">
        <v>17</v>
      </c>
      <c r="B4" s="3">
        <v>2013</v>
      </c>
      <c r="C4" s="3" t="s">
        <v>19</v>
      </c>
      <c r="D4" s="3">
        <v>1373.3</v>
      </c>
      <c r="E4" s="3">
        <v>208.5</v>
      </c>
      <c r="F4" s="3">
        <v>310.6</v>
      </c>
    </row>
    <row r="5" spans="1:6">
      <c r="A5" s="3" t="s">
        <v>14</v>
      </c>
      <c r="B5" s="3">
        <v>2013</v>
      </c>
      <c r="C5" s="3" t="s">
        <v>20</v>
      </c>
      <c r="D5" s="3">
        <v>1380.4</v>
      </c>
      <c r="E5" s="3">
        <v>209</v>
      </c>
      <c r="F5" s="3">
        <v>311.8</v>
      </c>
    </row>
    <row r="6" spans="1:12">
      <c r="A6" s="3" t="s">
        <v>16</v>
      </c>
      <c r="B6" s="3">
        <v>2013</v>
      </c>
      <c r="C6" s="3" t="s">
        <v>20</v>
      </c>
      <c r="D6" s="3">
        <v>1390.6</v>
      </c>
      <c r="E6" s="3">
        <v>209</v>
      </c>
      <c r="F6" s="3">
        <v>311.3</v>
      </c>
      <c r="I6" s="78" t="s">
        <v>21</v>
      </c>
      <c r="J6" s="10" t="s">
        <v>22</v>
      </c>
      <c r="K6" s="10" t="s">
        <v>23</v>
      </c>
      <c r="L6" s="10" t="s">
        <v>24</v>
      </c>
    </row>
    <row r="7" spans="1:12">
      <c r="A7" s="3" t="s">
        <v>17</v>
      </c>
      <c r="B7" s="3">
        <v>2013</v>
      </c>
      <c r="C7" s="3" t="s">
        <v>20</v>
      </c>
      <c r="D7" s="3">
        <v>1384.2</v>
      </c>
      <c r="E7" s="3">
        <v>209</v>
      </c>
      <c r="F7" s="3">
        <v>311.6</v>
      </c>
      <c r="I7" t="s">
        <v>25</v>
      </c>
      <c r="J7">
        <f>AVERAGE(D227:D256)</f>
        <v>1876.70333333333</v>
      </c>
      <c r="K7">
        <f>AVERAGE(E227:E256)</f>
        <v>287.053333333333</v>
      </c>
      <c r="L7">
        <f>AVERAGE(F227:F256)</f>
        <v>437.196666666667</v>
      </c>
    </row>
    <row r="8" spans="1:12">
      <c r="A8" s="3" t="s">
        <v>14</v>
      </c>
      <c r="B8" s="3">
        <v>2013</v>
      </c>
      <c r="C8" s="3" t="s">
        <v>26</v>
      </c>
      <c r="D8" s="3">
        <v>1382.2</v>
      </c>
      <c r="E8" s="3">
        <v>209</v>
      </c>
      <c r="F8" s="3">
        <v>312.1</v>
      </c>
      <c r="I8" s="79" t="s">
        <v>27</v>
      </c>
      <c r="J8">
        <f>AVERAGE(D257:D259)</f>
        <v>1896.16666666667</v>
      </c>
      <c r="K8">
        <f>AVERAGE(E257:E259)</f>
        <v>296.533333333333</v>
      </c>
      <c r="L8">
        <f>AVERAGE(F257:F259)</f>
        <v>448.633333333333</v>
      </c>
    </row>
    <row r="9" spans="1:12">
      <c r="A9" s="3" t="s">
        <v>16</v>
      </c>
      <c r="B9" s="3">
        <v>2013</v>
      </c>
      <c r="C9" s="3" t="s">
        <v>26</v>
      </c>
      <c r="D9" s="3">
        <v>1386.8</v>
      </c>
      <c r="E9" s="3">
        <v>209.4</v>
      </c>
      <c r="F9" s="3">
        <v>312.1</v>
      </c>
      <c r="I9" t="s">
        <v>28</v>
      </c>
      <c r="J9">
        <f>AVERAGE(D260:D292)</f>
        <v>2030.52121212121</v>
      </c>
      <c r="K9">
        <f>AVERAGE(E260:E292)</f>
        <v>310.515151515152</v>
      </c>
      <c r="L9">
        <f>AVERAGE(F260:F292)</f>
        <v>450.4</v>
      </c>
    </row>
    <row r="10" spans="1:6">
      <c r="A10" s="3" t="s">
        <v>17</v>
      </c>
      <c r="B10" s="3">
        <v>2013</v>
      </c>
      <c r="C10" s="3" t="s">
        <v>26</v>
      </c>
      <c r="D10" s="3">
        <v>1384</v>
      </c>
      <c r="E10" s="3">
        <v>209.2</v>
      </c>
      <c r="F10" s="3">
        <v>312.1</v>
      </c>
    </row>
    <row r="11" spans="1:6">
      <c r="A11" s="3" t="s">
        <v>14</v>
      </c>
      <c r="B11" s="3">
        <v>2013</v>
      </c>
      <c r="C11" s="3" t="s">
        <v>29</v>
      </c>
      <c r="D11" s="3">
        <v>1385.8</v>
      </c>
      <c r="E11" s="3">
        <v>207.8</v>
      </c>
      <c r="F11" s="3">
        <v>313.1</v>
      </c>
    </row>
    <row r="12" spans="1:6">
      <c r="A12" s="3" t="s">
        <v>16</v>
      </c>
      <c r="B12" s="3">
        <v>2013</v>
      </c>
      <c r="C12" s="3" t="s">
        <v>29</v>
      </c>
      <c r="D12" s="3">
        <v>1397.7</v>
      </c>
      <c r="E12" s="3">
        <v>208.9</v>
      </c>
      <c r="F12" s="3">
        <v>313.4</v>
      </c>
    </row>
    <row r="13" spans="1:6">
      <c r="A13" s="3" t="s">
        <v>17</v>
      </c>
      <c r="B13" s="3">
        <v>2013</v>
      </c>
      <c r="C13" s="3" t="s">
        <v>29</v>
      </c>
      <c r="D13" s="3">
        <v>1390.2</v>
      </c>
      <c r="E13" s="3">
        <v>208.2</v>
      </c>
      <c r="F13" s="3">
        <v>313.3</v>
      </c>
    </row>
    <row r="14" spans="1:6">
      <c r="A14" s="3" t="s">
        <v>14</v>
      </c>
      <c r="B14" s="3">
        <v>2013</v>
      </c>
      <c r="C14" s="3" t="s">
        <v>15</v>
      </c>
      <c r="D14" s="3">
        <v>1394</v>
      </c>
      <c r="E14" s="3">
        <v>207.8</v>
      </c>
      <c r="F14" s="3">
        <v>314.8</v>
      </c>
    </row>
    <row r="15" spans="1:6">
      <c r="A15" s="3" t="s">
        <v>16</v>
      </c>
      <c r="B15" s="3">
        <v>2013</v>
      </c>
      <c r="C15" s="3" t="s">
        <v>15</v>
      </c>
      <c r="D15" s="3">
        <v>1417.2</v>
      </c>
      <c r="E15" s="3">
        <v>208.8</v>
      </c>
      <c r="F15" s="3">
        <v>314.8</v>
      </c>
    </row>
    <row r="16" spans="1:6">
      <c r="A16" s="3" t="s">
        <v>17</v>
      </c>
      <c r="B16" s="3">
        <v>2013</v>
      </c>
      <c r="C16" s="3" t="s">
        <v>15</v>
      </c>
      <c r="D16" s="3">
        <v>1402.2</v>
      </c>
      <c r="E16" s="3">
        <v>208.2</v>
      </c>
      <c r="F16" s="3">
        <v>314.8</v>
      </c>
    </row>
    <row r="17" spans="1:6">
      <c r="A17" s="3" t="s">
        <v>14</v>
      </c>
      <c r="B17" s="3">
        <v>2013</v>
      </c>
      <c r="C17" s="3" t="s">
        <v>30</v>
      </c>
      <c r="D17" s="3">
        <v>1420</v>
      </c>
      <c r="E17" s="3">
        <v>208.8</v>
      </c>
      <c r="F17" s="3">
        <v>316.6</v>
      </c>
    </row>
    <row r="18" spans="1:6">
      <c r="A18" s="3" t="s">
        <v>16</v>
      </c>
      <c r="B18" s="3">
        <v>2013</v>
      </c>
      <c r="C18" s="3" t="s">
        <v>30</v>
      </c>
      <c r="D18" s="3">
        <v>1464.6</v>
      </c>
      <c r="E18" s="3">
        <v>209.8</v>
      </c>
      <c r="F18" s="3">
        <v>322.3</v>
      </c>
    </row>
    <row r="19" spans="1:6">
      <c r="A19" s="3" t="s">
        <v>17</v>
      </c>
      <c r="B19" s="3">
        <v>2013</v>
      </c>
      <c r="C19" s="3" t="s">
        <v>30</v>
      </c>
      <c r="D19" s="3">
        <v>1436</v>
      </c>
      <c r="E19" s="3">
        <v>209.2</v>
      </c>
      <c r="F19" s="3">
        <v>322.5</v>
      </c>
    </row>
    <row r="20" spans="1:6">
      <c r="A20" s="3" t="s">
        <v>14</v>
      </c>
      <c r="B20" s="3">
        <v>2013</v>
      </c>
      <c r="C20" s="3" t="s">
        <v>31</v>
      </c>
      <c r="D20" s="3">
        <v>1445.9</v>
      </c>
      <c r="E20" s="3">
        <v>209.4</v>
      </c>
      <c r="F20" s="3">
        <v>318.5</v>
      </c>
    </row>
    <row r="21" spans="1:6">
      <c r="A21" s="3" t="s">
        <v>16</v>
      </c>
      <c r="B21" s="3">
        <v>2013</v>
      </c>
      <c r="C21" s="3" t="s">
        <v>31</v>
      </c>
      <c r="D21" s="3">
        <v>1489.4</v>
      </c>
      <c r="E21" s="3">
        <v>210.3</v>
      </c>
      <c r="F21" s="3">
        <v>324.4</v>
      </c>
    </row>
    <row r="22" spans="1:6">
      <c r="A22" s="3" t="s">
        <v>17</v>
      </c>
      <c r="B22" s="3">
        <v>2013</v>
      </c>
      <c r="C22" s="3" t="s">
        <v>31</v>
      </c>
      <c r="D22" s="3">
        <v>1461.4</v>
      </c>
      <c r="E22" s="3">
        <v>209.8</v>
      </c>
      <c r="F22" s="3">
        <v>325.1</v>
      </c>
    </row>
    <row r="23" spans="1:6">
      <c r="A23" s="3" t="s">
        <v>14</v>
      </c>
      <c r="B23" s="3">
        <v>2013</v>
      </c>
      <c r="C23" s="3" t="s">
        <v>32</v>
      </c>
      <c r="D23" s="3">
        <v>1462.5</v>
      </c>
      <c r="E23" s="3">
        <v>212.5</v>
      </c>
      <c r="F23" s="3">
        <v>327.5</v>
      </c>
    </row>
    <row r="24" spans="1:6">
      <c r="A24" s="3" t="s">
        <v>16</v>
      </c>
      <c r="B24" s="3">
        <v>2013</v>
      </c>
      <c r="C24" s="3" t="s">
        <v>32</v>
      </c>
      <c r="D24" s="3">
        <v>1506.1</v>
      </c>
      <c r="E24" s="3">
        <v>213.6</v>
      </c>
      <c r="F24" s="3">
        <v>326.9</v>
      </c>
    </row>
    <row r="25" spans="1:6">
      <c r="A25" s="3" t="s">
        <v>17</v>
      </c>
      <c r="B25" s="3">
        <v>2013</v>
      </c>
      <c r="C25" s="3" t="s">
        <v>32</v>
      </c>
      <c r="D25" s="3">
        <v>1477.4</v>
      </c>
      <c r="E25" s="3">
        <v>212.9</v>
      </c>
      <c r="F25" s="3">
        <v>327.3</v>
      </c>
    </row>
    <row r="26" spans="1:6">
      <c r="A26" s="3" t="s">
        <v>14</v>
      </c>
      <c r="B26" s="3">
        <v>2013</v>
      </c>
      <c r="C26" s="3" t="s">
        <v>33</v>
      </c>
      <c r="D26" s="3">
        <v>1488.5</v>
      </c>
      <c r="E26" s="3">
        <v>215</v>
      </c>
      <c r="F26" s="3">
        <v>330.4</v>
      </c>
    </row>
    <row r="27" spans="1:6">
      <c r="A27" s="3" t="s">
        <v>16</v>
      </c>
      <c r="B27" s="3">
        <v>2013</v>
      </c>
      <c r="C27" s="3" t="s">
        <v>33</v>
      </c>
      <c r="D27" s="3">
        <v>1500.4</v>
      </c>
      <c r="E27" s="3">
        <v>214.8</v>
      </c>
      <c r="F27" s="3">
        <v>328.8</v>
      </c>
    </row>
    <row r="28" spans="1:6">
      <c r="A28" s="3" t="s">
        <v>17</v>
      </c>
      <c r="B28" s="3">
        <v>2013</v>
      </c>
      <c r="C28" s="3" t="s">
        <v>33</v>
      </c>
      <c r="D28" s="3">
        <v>1491.7</v>
      </c>
      <c r="E28" s="3">
        <v>214.9</v>
      </c>
      <c r="F28" s="3">
        <v>329.8</v>
      </c>
    </row>
    <row r="29" spans="1:6">
      <c r="A29" s="3" t="s">
        <v>14</v>
      </c>
      <c r="B29" s="3">
        <v>2013</v>
      </c>
      <c r="C29" s="3" t="s">
        <v>34</v>
      </c>
      <c r="D29" s="3">
        <v>1508</v>
      </c>
      <c r="E29" s="3">
        <v>216.4</v>
      </c>
      <c r="F29" s="3">
        <v>332.5</v>
      </c>
    </row>
    <row r="30" spans="1:6">
      <c r="A30" s="3" t="s">
        <v>16</v>
      </c>
      <c r="B30" s="3">
        <v>2013</v>
      </c>
      <c r="C30" s="3" t="s">
        <v>34</v>
      </c>
      <c r="D30" s="3">
        <v>1517.2</v>
      </c>
      <c r="E30" s="3">
        <v>215.5</v>
      </c>
      <c r="F30" s="3">
        <v>330.4</v>
      </c>
    </row>
    <row r="31" spans="1:6">
      <c r="A31" s="3" t="s">
        <v>17</v>
      </c>
      <c r="B31" s="3">
        <v>2013</v>
      </c>
      <c r="C31" s="3" t="s">
        <v>34</v>
      </c>
      <c r="D31" s="3">
        <v>1510.2</v>
      </c>
      <c r="E31" s="3">
        <v>216</v>
      </c>
      <c r="F31" s="3">
        <v>331.7</v>
      </c>
    </row>
    <row r="32" spans="1:6">
      <c r="A32" s="3" t="s">
        <v>14</v>
      </c>
      <c r="B32" s="3">
        <v>2013</v>
      </c>
      <c r="C32" s="3" t="s">
        <v>35</v>
      </c>
      <c r="D32" s="3">
        <v>1536.8</v>
      </c>
      <c r="E32" s="3">
        <v>217.9</v>
      </c>
      <c r="F32" s="3">
        <v>335</v>
      </c>
    </row>
    <row r="33" spans="1:6">
      <c r="A33" s="3" t="s">
        <v>16</v>
      </c>
      <c r="B33" s="3">
        <v>2013</v>
      </c>
      <c r="C33" s="3" t="s">
        <v>36</v>
      </c>
      <c r="D33" s="3">
        <v>1544.6</v>
      </c>
      <c r="E33" s="3">
        <v>216.5</v>
      </c>
      <c r="F33" s="3">
        <v>332</v>
      </c>
    </row>
    <row r="34" spans="1:6">
      <c r="A34" s="3" t="s">
        <v>17</v>
      </c>
      <c r="B34" s="3">
        <v>2013</v>
      </c>
      <c r="C34" s="3" t="s">
        <v>36</v>
      </c>
      <c r="D34" s="3">
        <v>1538.8</v>
      </c>
      <c r="E34" s="3">
        <v>217.4</v>
      </c>
      <c r="F34" s="3">
        <v>333.8</v>
      </c>
    </row>
    <row r="35" spans="1:6">
      <c r="A35" s="3" t="s">
        <v>14</v>
      </c>
      <c r="B35" s="3">
        <v>2013</v>
      </c>
      <c r="C35" s="3" t="s">
        <v>37</v>
      </c>
      <c r="D35" s="3">
        <v>1509</v>
      </c>
      <c r="E35" s="3">
        <v>218.2</v>
      </c>
      <c r="F35" s="3">
        <v>335.6</v>
      </c>
    </row>
    <row r="36" spans="1:6">
      <c r="A36" s="3" t="s">
        <v>16</v>
      </c>
      <c r="B36" s="3">
        <v>2013</v>
      </c>
      <c r="C36" s="3" t="s">
        <v>37</v>
      </c>
      <c r="D36" s="3">
        <v>1504.4</v>
      </c>
      <c r="E36" s="3">
        <v>216.7</v>
      </c>
      <c r="F36" s="3">
        <v>332.4</v>
      </c>
    </row>
    <row r="37" spans="1:6">
      <c r="A37" s="3" t="s">
        <v>17</v>
      </c>
      <c r="B37" s="3">
        <v>2013</v>
      </c>
      <c r="C37" s="3" t="s">
        <v>37</v>
      </c>
      <c r="D37" s="3">
        <v>1507.3</v>
      </c>
      <c r="E37" s="3">
        <v>217.6</v>
      </c>
      <c r="F37" s="3">
        <v>334.3</v>
      </c>
    </row>
    <row r="38" spans="1:6">
      <c r="A38" s="3" t="s">
        <v>14</v>
      </c>
      <c r="B38" s="3">
        <v>2014</v>
      </c>
      <c r="C38" s="3" t="s">
        <v>19</v>
      </c>
      <c r="D38" s="3">
        <v>1486.6</v>
      </c>
      <c r="E38" s="3">
        <v>218.9</v>
      </c>
      <c r="F38" s="3">
        <v>337.2</v>
      </c>
    </row>
    <row r="39" spans="1:6">
      <c r="A39" s="3" t="s">
        <v>16</v>
      </c>
      <c r="B39" s="3">
        <v>2014</v>
      </c>
      <c r="C39" s="3" t="s">
        <v>19</v>
      </c>
      <c r="D39" s="3">
        <v>1484.3</v>
      </c>
      <c r="E39" s="3">
        <v>217.7</v>
      </c>
      <c r="F39" s="3">
        <v>334.5</v>
      </c>
    </row>
    <row r="40" spans="1:6">
      <c r="A40" s="3" t="s">
        <v>17</v>
      </c>
      <c r="B40" s="3">
        <v>2014</v>
      </c>
      <c r="C40" s="3" t="s">
        <v>19</v>
      </c>
      <c r="D40" s="3">
        <v>1485.8</v>
      </c>
      <c r="E40" s="3">
        <v>218.5</v>
      </c>
      <c r="F40" s="3">
        <v>336.1</v>
      </c>
    </row>
    <row r="41" spans="1:6">
      <c r="A41" s="3" t="s">
        <v>14</v>
      </c>
      <c r="B41" s="3">
        <v>2014</v>
      </c>
      <c r="C41" s="3" t="s">
        <v>20</v>
      </c>
      <c r="D41" s="3">
        <v>1482.2</v>
      </c>
      <c r="E41" s="3">
        <v>219.6</v>
      </c>
      <c r="F41" s="3">
        <v>338.6</v>
      </c>
    </row>
    <row r="42" spans="1:6">
      <c r="A42" s="3" t="s">
        <v>16</v>
      </c>
      <c r="B42" s="3">
        <v>2014</v>
      </c>
      <c r="C42" s="3" t="s">
        <v>20</v>
      </c>
      <c r="D42" s="3">
        <v>1476</v>
      </c>
      <c r="E42" s="3">
        <v>219.1</v>
      </c>
      <c r="F42" s="3">
        <v>336.2</v>
      </c>
    </row>
    <row r="43" spans="1:6">
      <c r="A43" s="3" t="s">
        <v>17</v>
      </c>
      <c r="B43" s="3">
        <v>2014</v>
      </c>
      <c r="C43" s="3" t="s">
        <v>20</v>
      </c>
      <c r="D43" s="3">
        <v>1480.1</v>
      </c>
      <c r="E43" s="3">
        <v>219.4</v>
      </c>
      <c r="F43" s="3">
        <v>337.7</v>
      </c>
    </row>
    <row r="44" spans="1:6">
      <c r="A44" s="3" t="s">
        <v>14</v>
      </c>
      <c r="B44" s="3">
        <v>2014</v>
      </c>
      <c r="C44" s="3" t="s">
        <v>26</v>
      </c>
      <c r="D44" s="3">
        <v>1491.4</v>
      </c>
      <c r="E44" s="3">
        <v>220.3</v>
      </c>
      <c r="F44" s="3">
        <v>340</v>
      </c>
    </row>
    <row r="45" spans="1:6">
      <c r="A45" s="3" t="s">
        <v>16</v>
      </c>
      <c r="B45" s="3">
        <v>2014</v>
      </c>
      <c r="C45" s="3" t="s">
        <v>26</v>
      </c>
      <c r="D45" s="3">
        <v>1483</v>
      </c>
      <c r="E45" s="3">
        <v>220</v>
      </c>
      <c r="F45" s="3">
        <v>337.1</v>
      </c>
    </row>
    <row r="46" spans="1:6">
      <c r="A46" s="3" t="s">
        <v>17</v>
      </c>
      <c r="B46" s="3">
        <v>2014</v>
      </c>
      <c r="C46" s="3" t="s">
        <v>26</v>
      </c>
      <c r="D46" s="3">
        <v>1488.3</v>
      </c>
      <c r="E46" s="3">
        <v>220.2</v>
      </c>
      <c r="F46" s="3">
        <v>338.9</v>
      </c>
    </row>
    <row r="47" spans="1:6">
      <c r="A47" s="3" t="s">
        <v>14</v>
      </c>
      <c r="B47" s="3">
        <v>2014</v>
      </c>
      <c r="C47" s="3" t="s">
        <v>29</v>
      </c>
      <c r="D47" s="3">
        <v>1504.1</v>
      </c>
      <c r="E47" s="3">
        <v>220.7</v>
      </c>
      <c r="F47" s="3">
        <v>341</v>
      </c>
    </row>
    <row r="48" spans="1:6">
      <c r="A48" s="3" t="s">
        <v>16</v>
      </c>
      <c r="B48" s="3">
        <v>2014</v>
      </c>
      <c r="C48" s="3" t="s">
        <v>29</v>
      </c>
      <c r="D48" s="3">
        <v>1504</v>
      </c>
      <c r="E48" s="3">
        <v>220.1</v>
      </c>
      <c r="F48" s="3">
        <v>338.2</v>
      </c>
    </row>
    <row r="49" spans="1:6">
      <c r="A49" s="3" t="s">
        <v>17</v>
      </c>
      <c r="B49" s="3">
        <v>2014</v>
      </c>
      <c r="C49" s="3" t="s">
        <v>29</v>
      </c>
      <c r="D49" s="3">
        <v>1504.1</v>
      </c>
      <c r="E49" s="3">
        <v>220.5</v>
      </c>
      <c r="F49" s="3">
        <v>340</v>
      </c>
    </row>
    <row r="50" spans="1:6">
      <c r="A50" s="3" t="s">
        <v>14</v>
      </c>
      <c r="B50" s="3">
        <v>2014</v>
      </c>
      <c r="C50" s="3" t="s">
        <v>15</v>
      </c>
      <c r="D50" s="3">
        <v>1513.9</v>
      </c>
      <c r="E50" s="3">
        <v>221</v>
      </c>
      <c r="F50" s="3">
        <v>341.8</v>
      </c>
    </row>
    <row r="51" spans="1:6">
      <c r="A51" s="3" t="s">
        <v>16</v>
      </c>
      <c r="B51" s="3">
        <v>2014</v>
      </c>
      <c r="C51" s="3" t="s">
        <v>15</v>
      </c>
      <c r="D51" s="3">
        <v>1525.3</v>
      </c>
      <c r="E51" s="3">
        <v>220.5</v>
      </c>
      <c r="F51" s="3">
        <v>339.5</v>
      </c>
    </row>
    <row r="52" spans="1:6">
      <c r="A52" s="3" t="s">
        <v>17</v>
      </c>
      <c r="B52" s="3">
        <v>2014</v>
      </c>
      <c r="C52" s="3" t="s">
        <v>15</v>
      </c>
      <c r="D52" s="3">
        <v>1518.5</v>
      </c>
      <c r="E52" s="3">
        <v>220.9</v>
      </c>
      <c r="F52" s="3">
        <v>340.9</v>
      </c>
    </row>
    <row r="53" spans="1:6">
      <c r="A53" s="3" t="s">
        <v>14</v>
      </c>
      <c r="B53" s="3">
        <v>2014</v>
      </c>
      <c r="C53" s="3" t="s">
        <v>30</v>
      </c>
      <c r="D53" s="3">
        <v>1525.7</v>
      </c>
      <c r="E53" s="3">
        <v>220.8</v>
      </c>
      <c r="F53" s="3">
        <v>343.2</v>
      </c>
    </row>
    <row r="54" spans="1:6">
      <c r="A54" s="3" t="s">
        <v>16</v>
      </c>
      <c r="B54" s="3">
        <v>2014</v>
      </c>
      <c r="C54" s="3" t="s">
        <v>30</v>
      </c>
      <c r="D54" s="3">
        <v>1547</v>
      </c>
      <c r="E54" s="3">
        <v>220.1</v>
      </c>
      <c r="F54" s="3">
        <v>339.4</v>
      </c>
    </row>
    <row r="55" spans="1:6">
      <c r="A55" s="3" t="s">
        <v>17</v>
      </c>
      <c r="B55" s="3">
        <v>2014</v>
      </c>
      <c r="C55" s="3" t="s">
        <v>30</v>
      </c>
      <c r="D55" s="3">
        <v>1533.7</v>
      </c>
      <c r="E55" s="3">
        <v>220.6</v>
      </c>
      <c r="F55" s="3">
        <v>341.7</v>
      </c>
    </row>
    <row r="56" spans="1:6">
      <c r="A56" s="3" t="s">
        <v>14</v>
      </c>
      <c r="B56" s="3">
        <v>2014</v>
      </c>
      <c r="C56" s="3" t="s">
        <v>31</v>
      </c>
      <c r="D56" s="3">
        <v>1563.2</v>
      </c>
      <c r="E56" s="3">
        <v>222.2</v>
      </c>
      <c r="F56" s="3">
        <v>345.5</v>
      </c>
    </row>
    <row r="57" spans="1:6">
      <c r="A57" s="3" t="s">
        <v>16</v>
      </c>
      <c r="B57" s="3">
        <v>2014</v>
      </c>
      <c r="C57" s="3" t="s">
        <v>31</v>
      </c>
      <c r="D57" s="3">
        <v>1599.5</v>
      </c>
      <c r="E57" s="3">
        <v>221.2</v>
      </c>
      <c r="F57" s="3">
        <v>341.3</v>
      </c>
    </row>
    <row r="58" spans="1:6">
      <c r="A58" s="3" t="s">
        <v>17</v>
      </c>
      <c r="B58" s="3">
        <v>2014</v>
      </c>
      <c r="C58" s="3" t="s">
        <v>31</v>
      </c>
      <c r="D58" s="3">
        <v>1576.3</v>
      </c>
      <c r="E58" s="3">
        <v>221.9</v>
      </c>
      <c r="F58" s="3">
        <v>343.9</v>
      </c>
    </row>
    <row r="59" spans="1:6">
      <c r="A59" s="3" t="s">
        <v>14</v>
      </c>
      <c r="B59" s="3">
        <v>2014</v>
      </c>
      <c r="C59" s="3" t="s">
        <v>32</v>
      </c>
      <c r="D59" s="3">
        <v>1582.3</v>
      </c>
      <c r="E59" s="3">
        <v>223.4</v>
      </c>
      <c r="F59" s="3">
        <v>346.8</v>
      </c>
    </row>
    <row r="60" spans="1:6">
      <c r="A60" s="3" t="s">
        <v>16</v>
      </c>
      <c r="B60" s="3">
        <v>2014</v>
      </c>
      <c r="C60" s="3" t="s">
        <v>32</v>
      </c>
      <c r="D60" s="3">
        <v>1617</v>
      </c>
      <c r="E60" s="3">
        <v>222.7</v>
      </c>
      <c r="F60" s="3">
        <v>342.6</v>
      </c>
    </row>
    <row r="61" spans="1:6">
      <c r="A61" s="3" t="s">
        <v>17</v>
      </c>
      <c r="B61" s="3">
        <v>2014</v>
      </c>
      <c r="C61" s="3" t="s">
        <v>32</v>
      </c>
      <c r="D61" s="3">
        <v>1594.5</v>
      </c>
      <c r="E61" s="3">
        <v>223.2</v>
      </c>
      <c r="F61" s="3">
        <v>345.1</v>
      </c>
    </row>
    <row r="62" spans="1:6">
      <c r="A62" s="3" t="s">
        <v>14</v>
      </c>
      <c r="B62" s="3">
        <v>2014</v>
      </c>
      <c r="C62" s="3" t="s">
        <v>33</v>
      </c>
      <c r="D62" s="3">
        <v>1583.2</v>
      </c>
      <c r="E62" s="3">
        <v>223.6</v>
      </c>
      <c r="F62" s="3">
        <v>348.6</v>
      </c>
    </row>
    <row r="63" spans="1:6">
      <c r="A63" s="3" t="s">
        <v>16</v>
      </c>
      <c r="B63" s="3">
        <v>2014</v>
      </c>
      <c r="C63" s="3" t="s">
        <v>33</v>
      </c>
      <c r="D63" s="3">
        <v>1593.7</v>
      </c>
      <c r="E63" s="3">
        <v>222.3</v>
      </c>
      <c r="F63" s="3">
        <v>343.4</v>
      </c>
    </row>
    <row r="64" spans="1:6">
      <c r="A64" s="3" t="s">
        <v>17</v>
      </c>
      <c r="B64" s="3">
        <v>2014</v>
      </c>
      <c r="C64" s="3" t="s">
        <v>33</v>
      </c>
      <c r="D64" s="3">
        <v>1586.1</v>
      </c>
      <c r="E64" s="3">
        <v>223.2</v>
      </c>
      <c r="F64" s="3">
        <v>346.5</v>
      </c>
    </row>
    <row r="65" spans="1:6">
      <c r="A65" s="3" t="s">
        <v>14</v>
      </c>
      <c r="B65" s="3">
        <v>2014</v>
      </c>
      <c r="C65" s="3" t="s">
        <v>34</v>
      </c>
      <c r="D65" s="3">
        <v>1581.2</v>
      </c>
      <c r="E65" s="3">
        <v>224.6</v>
      </c>
      <c r="F65" s="3">
        <v>350.6</v>
      </c>
    </row>
    <row r="66" spans="1:6">
      <c r="A66" s="3" t="s">
        <v>16</v>
      </c>
      <c r="B66" s="3">
        <v>2014</v>
      </c>
      <c r="C66" s="3" t="s">
        <v>34</v>
      </c>
      <c r="D66" s="3">
        <v>1587.5</v>
      </c>
      <c r="E66" s="3">
        <v>222.7</v>
      </c>
      <c r="F66" s="3">
        <v>344.5</v>
      </c>
    </row>
    <row r="67" spans="1:6">
      <c r="A67" s="3" t="s">
        <v>17</v>
      </c>
      <c r="B67" s="3">
        <v>2014</v>
      </c>
      <c r="C67" s="3" t="s">
        <v>34</v>
      </c>
      <c r="D67" s="3">
        <v>1582.7</v>
      </c>
      <c r="E67" s="3">
        <v>223.9</v>
      </c>
      <c r="F67" s="3">
        <v>348.1</v>
      </c>
    </row>
    <row r="68" spans="1:6">
      <c r="A68" s="3" t="s">
        <v>14</v>
      </c>
      <c r="B68" s="3">
        <v>2014</v>
      </c>
      <c r="C68" s="3" t="s">
        <v>36</v>
      </c>
      <c r="D68" s="3">
        <v>1582</v>
      </c>
      <c r="E68" s="3">
        <v>224.7</v>
      </c>
      <c r="F68" s="3">
        <v>352.5</v>
      </c>
    </row>
    <row r="69" spans="1:6">
      <c r="A69" s="3" t="s">
        <v>16</v>
      </c>
      <c r="B69" s="3">
        <v>2014</v>
      </c>
      <c r="C69" s="3" t="s">
        <v>36</v>
      </c>
      <c r="D69" s="3">
        <v>1587.8</v>
      </c>
      <c r="E69" s="3">
        <v>222.6</v>
      </c>
      <c r="F69" s="3">
        <v>346.1</v>
      </c>
    </row>
    <row r="70" spans="1:6">
      <c r="A70" s="3" t="s">
        <v>17</v>
      </c>
      <c r="B70" s="3">
        <v>2014</v>
      </c>
      <c r="C70" s="3" t="s">
        <v>36</v>
      </c>
      <c r="D70" s="3">
        <v>1583.2</v>
      </c>
      <c r="E70" s="3">
        <v>223.9</v>
      </c>
      <c r="F70" s="3">
        <v>349.9</v>
      </c>
    </row>
    <row r="71" spans="1:6">
      <c r="A71" s="3" t="s">
        <v>14</v>
      </c>
      <c r="B71" s="3">
        <v>2014</v>
      </c>
      <c r="C71" s="3" t="s">
        <v>37</v>
      </c>
      <c r="D71" s="3">
        <v>1569.6</v>
      </c>
      <c r="E71" s="3">
        <v>225.6</v>
      </c>
      <c r="F71" s="3">
        <v>352.1</v>
      </c>
    </row>
    <row r="72" spans="1:6">
      <c r="A72" s="3" t="s">
        <v>16</v>
      </c>
      <c r="B72" s="3">
        <v>2014</v>
      </c>
      <c r="C72" s="3" t="s">
        <v>37</v>
      </c>
      <c r="D72" s="3">
        <v>1577.2</v>
      </c>
      <c r="E72" s="3">
        <v>223.6</v>
      </c>
      <c r="F72" s="3">
        <v>346.3</v>
      </c>
    </row>
    <row r="73" spans="1:6">
      <c r="A73" s="3" t="s">
        <v>17</v>
      </c>
      <c r="B73" s="3">
        <v>2014</v>
      </c>
      <c r="C73" s="3" t="s">
        <v>37</v>
      </c>
      <c r="D73" s="3">
        <v>1571.7</v>
      </c>
      <c r="E73" s="3">
        <v>224.9</v>
      </c>
      <c r="F73" s="3">
        <v>349.7</v>
      </c>
    </row>
    <row r="74" spans="1:6">
      <c r="A74" s="3" t="s">
        <v>14</v>
      </c>
      <c r="B74" s="3">
        <v>2015</v>
      </c>
      <c r="C74" s="3" t="s">
        <v>19</v>
      </c>
      <c r="D74" s="3">
        <v>1568.1</v>
      </c>
      <c r="E74" s="3">
        <v>226.8</v>
      </c>
      <c r="F74" s="3">
        <v>354.6</v>
      </c>
    </row>
    <row r="75" spans="1:6">
      <c r="A75" s="3" t="s">
        <v>16</v>
      </c>
      <c r="B75" s="3">
        <v>2015</v>
      </c>
      <c r="C75" s="3" t="s">
        <v>19</v>
      </c>
      <c r="D75" s="3">
        <v>1574.9</v>
      </c>
      <c r="E75" s="3">
        <v>225.1</v>
      </c>
      <c r="F75" s="3">
        <v>347.9</v>
      </c>
    </row>
    <row r="76" spans="1:6">
      <c r="A76" s="3" t="s">
        <v>17</v>
      </c>
      <c r="B76" s="3">
        <v>2015</v>
      </c>
      <c r="C76" s="3" t="s">
        <v>19</v>
      </c>
      <c r="D76" s="3">
        <v>1569.3</v>
      </c>
      <c r="E76" s="3">
        <v>226.2</v>
      </c>
      <c r="F76" s="3">
        <v>351.9</v>
      </c>
    </row>
    <row r="77" spans="1:6">
      <c r="A77" s="3" t="s">
        <v>14</v>
      </c>
      <c r="B77" s="3">
        <v>2015</v>
      </c>
      <c r="C77" s="3" t="s">
        <v>20</v>
      </c>
      <c r="D77" s="3">
        <v>1570.6</v>
      </c>
      <c r="E77" s="3">
        <v>228.5</v>
      </c>
      <c r="F77" s="3">
        <v>357.7</v>
      </c>
    </row>
    <row r="78" spans="1:6">
      <c r="A78" s="3" t="s">
        <v>16</v>
      </c>
      <c r="B78" s="3">
        <v>2015</v>
      </c>
      <c r="C78" s="3" t="s">
        <v>20</v>
      </c>
      <c r="D78" s="3">
        <v>1571.1</v>
      </c>
      <c r="E78" s="3">
        <v>225.8</v>
      </c>
      <c r="F78" s="3">
        <v>349.8</v>
      </c>
    </row>
    <row r="79" spans="1:6">
      <c r="A79" s="3" t="s">
        <v>17</v>
      </c>
      <c r="B79" s="3">
        <v>2015</v>
      </c>
      <c r="C79" s="3" t="s">
        <v>20</v>
      </c>
      <c r="D79" s="3">
        <v>1569.4</v>
      </c>
      <c r="E79" s="3">
        <v>227.5</v>
      </c>
      <c r="F79" s="3">
        <v>354.5</v>
      </c>
    </row>
    <row r="80" spans="1:6">
      <c r="A80" s="3" t="s">
        <v>14</v>
      </c>
      <c r="B80" s="3">
        <v>2015</v>
      </c>
      <c r="C80" s="3" t="s">
        <v>26</v>
      </c>
      <c r="D80" s="3">
        <v>1571.5</v>
      </c>
      <c r="E80" s="3">
        <v>229</v>
      </c>
      <c r="F80" s="3">
        <v>359.4</v>
      </c>
    </row>
    <row r="81" spans="1:6">
      <c r="A81" s="3" t="s">
        <v>16</v>
      </c>
      <c r="B81" s="3">
        <v>2015</v>
      </c>
      <c r="C81" s="3" t="s">
        <v>26</v>
      </c>
      <c r="D81" s="3">
        <v>1568</v>
      </c>
      <c r="E81" s="3">
        <v>225.6</v>
      </c>
      <c r="F81" s="3">
        <v>351</v>
      </c>
    </row>
    <row r="82" spans="1:6">
      <c r="A82" s="3" t="s">
        <v>17</v>
      </c>
      <c r="B82" s="3">
        <v>2015</v>
      </c>
      <c r="C82" s="3" t="s">
        <v>26</v>
      </c>
      <c r="D82" s="3">
        <v>1569.1</v>
      </c>
      <c r="E82" s="3">
        <v>227.7</v>
      </c>
      <c r="F82" s="3">
        <v>356.1</v>
      </c>
    </row>
    <row r="83" spans="1:6">
      <c r="A83" s="3" t="s">
        <v>14</v>
      </c>
      <c r="B83" s="3">
        <v>2015</v>
      </c>
      <c r="C83" s="3" t="s">
        <v>29</v>
      </c>
      <c r="D83" s="3">
        <v>1577.2</v>
      </c>
      <c r="E83" s="3">
        <v>230.2</v>
      </c>
      <c r="F83" s="3">
        <v>361.3</v>
      </c>
    </row>
    <row r="84" spans="1:6">
      <c r="A84" s="3" t="s">
        <v>16</v>
      </c>
      <c r="B84" s="3">
        <v>2015</v>
      </c>
      <c r="C84" s="3" t="s">
        <v>29</v>
      </c>
      <c r="D84" s="3">
        <v>1576.1</v>
      </c>
      <c r="E84" s="3">
        <v>226.4</v>
      </c>
      <c r="F84" s="3">
        <v>352.3</v>
      </c>
    </row>
    <row r="85" spans="1:6">
      <c r="A85" s="3" t="s">
        <v>17</v>
      </c>
      <c r="B85" s="3">
        <v>2015</v>
      </c>
      <c r="C85" s="3" t="s">
        <v>29</v>
      </c>
      <c r="D85" s="3">
        <v>1575.7</v>
      </c>
      <c r="E85" s="3">
        <v>228.8</v>
      </c>
      <c r="F85" s="3">
        <v>357.6</v>
      </c>
    </row>
    <row r="86" spans="1:6">
      <c r="A86" s="3" t="s">
        <v>14</v>
      </c>
      <c r="B86" s="3">
        <v>2015</v>
      </c>
      <c r="C86" s="3" t="s">
        <v>15</v>
      </c>
      <c r="D86" s="3">
        <v>1587.7</v>
      </c>
      <c r="E86" s="3">
        <v>231.7</v>
      </c>
      <c r="F86" s="3">
        <v>363</v>
      </c>
    </row>
    <row r="87" spans="1:6">
      <c r="A87" s="3" t="s">
        <v>16</v>
      </c>
      <c r="B87" s="3">
        <v>2015</v>
      </c>
      <c r="C87" s="3" t="s">
        <v>15</v>
      </c>
      <c r="D87" s="3">
        <v>1598.9</v>
      </c>
      <c r="E87" s="3">
        <v>227.3</v>
      </c>
      <c r="F87" s="3">
        <v>353.2</v>
      </c>
    </row>
    <row r="88" spans="1:6">
      <c r="A88" s="3" t="s">
        <v>17</v>
      </c>
      <c r="B88" s="3">
        <v>2015</v>
      </c>
      <c r="C88" s="3" t="s">
        <v>15</v>
      </c>
      <c r="D88" s="3">
        <v>1590.4</v>
      </c>
      <c r="E88" s="3">
        <v>230</v>
      </c>
      <c r="F88" s="3">
        <v>359</v>
      </c>
    </row>
    <row r="89" spans="1:6">
      <c r="A89" s="3" t="s">
        <v>14</v>
      </c>
      <c r="B89" s="3">
        <v>2015</v>
      </c>
      <c r="C89" s="3" t="s">
        <v>30</v>
      </c>
      <c r="D89" s="3">
        <v>1617.9</v>
      </c>
      <c r="E89" s="3">
        <v>233.4</v>
      </c>
      <c r="F89" s="3">
        <v>364.4</v>
      </c>
    </row>
    <row r="90" spans="1:6">
      <c r="A90" s="3" t="s">
        <v>16</v>
      </c>
      <c r="B90" s="3">
        <v>2015</v>
      </c>
      <c r="C90" s="3" t="s">
        <v>30</v>
      </c>
      <c r="D90" s="3">
        <v>1636.6</v>
      </c>
      <c r="E90" s="3">
        <v>227.9</v>
      </c>
      <c r="F90" s="3">
        <v>353.3</v>
      </c>
    </row>
    <row r="91" spans="1:6">
      <c r="A91" s="3" t="s">
        <v>17</v>
      </c>
      <c r="B91" s="3">
        <v>2015</v>
      </c>
      <c r="C91" s="3" t="s">
        <v>30</v>
      </c>
      <c r="D91" s="3">
        <v>1623.5</v>
      </c>
      <c r="E91" s="3">
        <v>231.3</v>
      </c>
      <c r="F91" s="3">
        <v>359.9</v>
      </c>
    </row>
    <row r="92" spans="1:6">
      <c r="A92" s="3" t="s">
        <v>14</v>
      </c>
      <c r="B92" s="3">
        <v>2015</v>
      </c>
      <c r="C92" s="3" t="s">
        <v>31</v>
      </c>
      <c r="D92" s="3">
        <v>1625.3</v>
      </c>
      <c r="E92" s="3">
        <v>233.5</v>
      </c>
      <c r="F92" s="3">
        <v>365.9</v>
      </c>
    </row>
    <row r="93" spans="1:6">
      <c r="A93" s="3" t="s">
        <v>16</v>
      </c>
      <c r="B93" s="3">
        <v>2015</v>
      </c>
      <c r="C93" s="3" t="s">
        <v>31</v>
      </c>
      <c r="D93" s="3">
        <v>1642.9</v>
      </c>
      <c r="E93" s="3">
        <v>227.7</v>
      </c>
      <c r="F93" s="3">
        <v>354.7</v>
      </c>
    </row>
    <row r="94" spans="1:6">
      <c r="A94" s="3" t="s">
        <v>17</v>
      </c>
      <c r="B94" s="3">
        <v>2015</v>
      </c>
      <c r="C94" s="3" t="s">
        <v>31</v>
      </c>
      <c r="D94" s="3">
        <v>1630.6</v>
      </c>
      <c r="E94" s="3">
        <v>231.3</v>
      </c>
      <c r="F94" s="3">
        <v>361.3</v>
      </c>
    </row>
    <row r="95" spans="1:6">
      <c r="A95" s="3" t="s">
        <v>14</v>
      </c>
      <c r="B95" s="3">
        <v>2015</v>
      </c>
      <c r="C95" s="3" t="s">
        <v>32</v>
      </c>
      <c r="D95" s="3">
        <v>1646.6</v>
      </c>
      <c r="E95" s="3">
        <v>233.6</v>
      </c>
      <c r="F95" s="3">
        <v>368.4</v>
      </c>
    </row>
    <row r="96" spans="1:6">
      <c r="A96" s="3" t="s">
        <v>16</v>
      </c>
      <c r="B96" s="3">
        <v>2015</v>
      </c>
      <c r="C96" s="3" t="s">
        <v>32</v>
      </c>
      <c r="D96" s="3">
        <v>1658.9</v>
      </c>
      <c r="E96" s="3">
        <v>228.6</v>
      </c>
      <c r="F96" s="3">
        <v>356.2</v>
      </c>
    </row>
    <row r="97" spans="1:6">
      <c r="A97" s="3" t="s">
        <v>17</v>
      </c>
      <c r="B97" s="3">
        <v>2015</v>
      </c>
      <c r="C97" s="3" t="s">
        <v>32</v>
      </c>
      <c r="D97" s="3">
        <v>1649.6</v>
      </c>
      <c r="E97" s="3">
        <v>231.7</v>
      </c>
      <c r="F97" s="3">
        <v>363.5</v>
      </c>
    </row>
    <row r="98" spans="1:6">
      <c r="A98" s="3" t="s">
        <v>14</v>
      </c>
      <c r="B98" s="3">
        <v>2015</v>
      </c>
      <c r="C98" s="3" t="s">
        <v>33</v>
      </c>
      <c r="D98" s="3">
        <v>1657.6</v>
      </c>
      <c r="E98" s="3">
        <v>235.1</v>
      </c>
      <c r="F98" s="3">
        <v>369.8</v>
      </c>
    </row>
    <row r="99" spans="1:6">
      <c r="A99" s="3" t="s">
        <v>16</v>
      </c>
      <c r="B99" s="3">
        <v>2015</v>
      </c>
      <c r="C99" s="3" t="s">
        <v>33</v>
      </c>
      <c r="D99" s="3">
        <v>1664.8</v>
      </c>
      <c r="E99" s="3">
        <v>230</v>
      </c>
      <c r="F99" s="3">
        <v>357.1</v>
      </c>
    </row>
    <row r="100" spans="1:6">
      <c r="A100" s="3" t="s">
        <v>17</v>
      </c>
      <c r="B100" s="3">
        <v>2015</v>
      </c>
      <c r="C100" s="3" t="s">
        <v>33</v>
      </c>
      <c r="D100" s="3">
        <v>1658.3</v>
      </c>
      <c r="E100" s="3">
        <v>233.2</v>
      </c>
      <c r="F100" s="3">
        <v>364.6</v>
      </c>
    </row>
    <row r="101" spans="1:6">
      <c r="A101" s="3" t="s">
        <v>14</v>
      </c>
      <c r="B101" s="3">
        <v>2015</v>
      </c>
      <c r="C101" s="3" t="s">
        <v>34</v>
      </c>
      <c r="D101" s="3">
        <v>1674.6</v>
      </c>
      <c r="E101" s="3">
        <v>236.2</v>
      </c>
      <c r="F101" s="3">
        <v>371.9</v>
      </c>
    </row>
    <row r="102" spans="1:6">
      <c r="A102" s="3" t="s">
        <v>16</v>
      </c>
      <c r="B102" s="3">
        <v>2015</v>
      </c>
      <c r="C102" s="3" t="s">
        <v>34</v>
      </c>
      <c r="D102" s="3">
        <v>1692.8</v>
      </c>
      <c r="E102" s="3">
        <v>231.2</v>
      </c>
      <c r="F102" s="3">
        <v>358</v>
      </c>
    </row>
    <row r="103" spans="1:6">
      <c r="A103" s="3" t="s">
        <v>17</v>
      </c>
      <c r="B103" s="3">
        <v>2015</v>
      </c>
      <c r="C103" s="3" t="s">
        <v>34</v>
      </c>
      <c r="D103" s="3">
        <v>1679</v>
      </c>
      <c r="E103" s="3">
        <v>234.3</v>
      </c>
      <c r="F103" s="3">
        <v>366.2</v>
      </c>
    </row>
    <row r="104" spans="1:6">
      <c r="A104" s="3" t="s">
        <v>14</v>
      </c>
      <c r="B104" s="3">
        <v>2015</v>
      </c>
      <c r="C104" s="3" t="s">
        <v>36</v>
      </c>
      <c r="D104" s="3">
        <v>1686.3</v>
      </c>
      <c r="E104" s="3">
        <v>236.8</v>
      </c>
      <c r="F104" s="3">
        <v>374.1</v>
      </c>
    </row>
    <row r="105" spans="1:6">
      <c r="A105" s="3" t="s">
        <v>16</v>
      </c>
      <c r="B105" s="3">
        <v>2015</v>
      </c>
      <c r="C105" s="3" t="s">
        <v>36</v>
      </c>
      <c r="D105" s="3">
        <v>1708.5</v>
      </c>
      <c r="E105" s="3">
        <v>231.4</v>
      </c>
      <c r="F105" s="3">
        <v>359</v>
      </c>
    </row>
    <row r="106" spans="1:6">
      <c r="A106" s="3" t="s">
        <v>17</v>
      </c>
      <c r="B106" s="3">
        <v>2015</v>
      </c>
      <c r="C106" s="3" t="s">
        <v>36</v>
      </c>
      <c r="D106" s="3">
        <v>1692.1</v>
      </c>
      <c r="E106" s="3">
        <v>234.7</v>
      </c>
      <c r="F106" s="3">
        <v>367.9</v>
      </c>
    </row>
    <row r="107" spans="1:6">
      <c r="A107" s="3" t="s">
        <v>14</v>
      </c>
      <c r="B107" s="3">
        <v>2015</v>
      </c>
      <c r="C107" s="3" t="s">
        <v>37</v>
      </c>
      <c r="D107" s="3">
        <v>1682.3</v>
      </c>
      <c r="E107" s="3">
        <v>237.2</v>
      </c>
      <c r="F107" s="3">
        <v>374.1</v>
      </c>
    </row>
    <row r="108" spans="1:6">
      <c r="A108" s="3" t="s">
        <v>16</v>
      </c>
      <c r="B108" s="3">
        <v>2015</v>
      </c>
      <c r="C108" s="3" t="s">
        <v>37</v>
      </c>
      <c r="D108" s="3">
        <v>1698.8</v>
      </c>
      <c r="E108" s="3">
        <v>231.8</v>
      </c>
      <c r="F108" s="3">
        <v>359.4</v>
      </c>
    </row>
    <row r="109" spans="1:6">
      <c r="A109" s="3" t="s">
        <v>17</v>
      </c>
      <c r="B109" s="3">
        <v>2015</v>
      </c>
      <c r="C109" s="3" t="s">
        <v>37</v>
      </c>
      <c r="D109" s="3">
        <v>1686.1</v>
      </c>
      <c r="E109" s="3">
        <v>235.1</v>
      </c>
      <c r="F109" s="3">
        <v>368</v>
      </c>
    </row>
    <row r="110" spans="1:6">
      <c r="A110" s="3" t="s">
        <v>14</v>
      </c>
      <c r="B110" s="3">
        <v>2016</v>
      </c>
      <c r="C110" s="3" t="s">
        <v>19</v>
      </c>
      <c r="D110" s="3">
        <v>1690.1</v>
      </c>
      <c r="E110" s="3">
        <v>238.6</v>
      </c>
      <c r="F110" s="3">
        <v>376.2</v>
      </c>
    </row>
    <row r="111" spans="1:6">
      <c r="A111" s="3" t="s">
        <v>16</v>
      </c>
      <c r="B111" s="3">
        <v>2016</v>
      </c>
      <c r="C111" s="3" t="s">
        <v>19</v>
      </c>
      <c r="D111" s="3">
        <v>1701.4</v>
      </c>
      <c r="E111" s="3">
        <v>233.1</v>
      </c>
      <c r="F111" s="3">
        <v>361.9</v>
      </c>
    </row>
    <row r="112" spans="1:6">
      <c r="A112" s="3" t="s">
        <v>17</v>
      </c>
      <c r="B112" s="3">
        <v>2016</v>
      </c>
      <c r="C112" s="3" t="s">
        <v>19</v>
      </c>
      <c r="D112" s="3">
        <v>1691.7</v>
      </c>
      <c r="E112" s="3">
        <v>236.5</v>
      </c>
      <c r="F112" s="3">
        <v>370.3</v>
      </c>
    </row>
    <row r="113" spans="1:6">
      <c r="A113" s="3" t="s">
        <v>14</v>
      </c>
      <c r="B113" s="3">
        <v>2016</v>
      </c>
      <c r="C113" s="3" t="s">
        <v>20</v>
      </c>
      <c r="D113" s="3">
        <v>1682.6</v>
      </c>
      <c r="E113" s="3">
        <v>241.1</v>
      </c>
      <c r="F113" s="3">
        <v>379</v>
      </c>
    </row>
    <row r="114" spans="1:6">
      <c r="A114" s="3" t="s">
        <v>16</v>
      </c>
      <c r="B114" s="3">
        <v>2016</v>
      </c>
      <c r="C114" s="3" t="s">
        <v>20</v>
      </c>
      <c r="D114" s="3">
        <v>1676.1</v>
      </c>
      <c r="E114" s="3">
        <v>235.7</v>
      </c>
      <c r="F114" s="3">
        <v>362.2</v>
      </c>
    </row>
    <row r="115" spans="1:6">
      <c r="A115" s="3" t="s">
        <v>17</v>
      </c>
      <c r="B115" s="3">
        <v>2016</v>
      </c>
      <c r="C115" s="3" t="s">
        <v>20</v>
      </c>
      <c r="D115" s="3">
        <v>1678.1</v>
      </c>
      <c r="E115" s="3">
        <v>239.1</v>
      </c>
      <c r="F115" s="3">
        <v>372.1</v>
      </c>
    </row>
    <row r="116" spans="1:6">
      <c r="A116" s="3" t="s">
        <v>14</v>
      </c>
      <c r="B116" s="3">
        <v>2016</v>
      </c>
      <c r="C116" s="3" t="s">
        <v>26</v>
      </c>
      <c r="D116" s="3">
        <v>1682.7</v>
      </c>
      <c r="E116" s="3">
        <v>242.2</v>
      </c>
      <c r="F116" s="3">
        <v>379.6</v>
      </c>
    </row>
    <row r="117" spans="1:6">
      <c r="A117" s="3" t="s">
        <v>16</v>
      </c>
      <c r="B117" s="3">
        <v>2016</v>
      </c>
      <c r="C117" s="3" t="s">
        <v>26</v>
      </c>
      <c r="D117" s="3">
        <v>1667.6</v>
      </c>
      <c r="E117" s="3">
        <v>236.8</v>
      </c>
      <c r="F117" s="3">
        <v>362</v>
      </c>
    </row>
    <row r="118" spans="1:6">
      <c r="A118" s="3" t="s">
        <v>17</v>
      </c>
      <c r="B118" s="3">
        <v>2016</v>
      </c>
      <c r="C118" s="3" t="s">
        <v>26</v>
      </c>
      <c r="D118" s="3">
        <v>1675.2</v>
      </c>
      <c r="E118" s="3">
        <v>240.2</v>
      </c>
      <c r="F118" s="3">
        <v>372.4</v>
      </c>
    </row>
    <row r="119" spans="1:6">
      <c r="A119" s="3" t="s">
        <v>14</v>
      </c>
      <c r="B119" s="3">
        <v>2016</v>
      </c>
      <c r="C119" s="3" t="s">
        <v>29</v>
      </c>
      <c r="D119" s="3">
        <v>1701.6</v>
      </c>
      <c r="E119" s="3">
        <v>243.6</v>
      </c>
      <c r="F119" s="3">
        <v>380.6</v>
      </c>
    </row>
    <row r="120" spans="1:6">
      <c r="A120" s="3" t="s">
        <v>16</v>
      </c>
      <c r="B120" s="3">
        <v>2016</v>
      </c>
      <c r="C120" s="3" t="s">
        <v>29</v>
      </c>
      <c r="D120" s="3">
        <v>1706.3</v>
      </c>
      <c r="E120" s="3">
        <v>237.6</v>
      </c>
      <c r="F120" s="3">
        <v>363</v>
      </c>
    </row>
    <row r="121" spans="1:6">
      <c r="A121" s="3" t="s">
        <v>17</v>
      </c>
      <c r="B121" s="3">
        <v>2016</v>
      </c>
      <c r="C121" s="3" t="s">
        <v>29</v>
      </c>
      <c r="D121" s="3">
        <v>1701.3</v>
      </c>
      <c r="E121" s="3">
        <v>241.3</v>
      </c>
      <c r="F121" s="3">
        <v>373.4</v>
      </c>
    </row>
    <row r="122" spans="1:6">
      <c r="A122" s="3" t="s">
        <v>14</v>
      </c>
      <c r="B122" s="3">
        <v>2016</v>
      </c>
      <c r="C122" s="3" t="s">
        <v>15</v>
      </c>
      <c r="D122" s="3">
        <v>1723.7</v>
      </c>
      <c r="E122" s="3">
        <v>245.5</v>
      </c>
      <c r="F122" s="3">
        <v>381.9</v>
      </c>
    </row>
    <row r="123" spans="1:6">
      <c r="A123" s="3" t="s">
        <v>16</v>
      </c>
      <c r="B123" s="3">
        <v>2016</v>
      </c>
      <c r="C123" s="3" t="s">
        <v>15</v>
      </c>
      <c r="D123" s="3">
        <v>1746.8</v>
      </c>
      <c r="E123" s="3">
        <v>238.8</v>
      </c>
      <c r="F123" s="3">
        <v>364.2</v>
      </c>
    </row>
    <row r="124" spans="1:6">
      <c r="A124" s="3" t="s">
        <v>17</v>
      </c>
      <c r="B124" s="3">
        <v>2016</v>
      </c>
      <c r="C124" s="3" t="s">
        <v>15</v>
      </c>
      <c r="D124" s="3">
        <v>1730.4</v>
      </c>
      <c r="E124" s="3">
        <v>242.9</v>
      </c>
      <c r="F124" s="3">
        <v>374.7</v>
      </c>
    </row>
    <row r="125" spans="1:6">
      <c r="A125" s="3" t="s">
        <v>14</v>
      </c>
      <c r="B125" s="3">
        <v>2016</v>
      </c>
      <c r="C125" s="3" t="s">
        <v>30</v>
      </c>
      <c r="D125" s="3">
        <v>1748.6</v>
      </c>
      <c r="E125" s="3">
        <v>246.1</v>
      </c>
      <c r="F125" s="3">
        <v>382.8</v>
      </c>
    </row>
    <row r="126" spans="1:6">
      <c r="A126" s="3" t="s">
        <v>16</v>
      </c>
      <c r="B126" s="3">
        <v>2016</v>
      </c>
      <c r="C126" s="3" t="s">
        <v>30</v>
      </c>
      <c r="D126" s="3">
        <v>1787</v>
      </c>
      <c r="E126" s="3">
        <v>239.4</v>
      </c>
      <c r="F126" s="3">
        <v>364.2</v>
      </c>
    </row>
    <row r="127" spans="1:6">
      <c r="A127" s="3" t="s">
        <v>17</v>
      </c>
      <c r="B127" s="3">
        <v>2016</v>
      </c>
      <c r="C127" s="3" t="s">
        <v>30</v>
      </c>
      <c r="D127" s="3">
        <v>1760.6</v>
      </c>
      <c r="E127" s="3">
        <v>243.5</v>
      </c>
      <c r="F127" s="3">
        <v>375.2</v>
      </c>
    </row>
    <row r="128" spans="1:6">
      <c r="A128" s="3" t="s">
        <v>14</v>
      </c>
      <c r="B128" s="3">
        <v>2016</v>
      </c>
      <c r="C128" s="3" t="s">
        <v>31</v>
      </c>
      <c r="D128" s="3">
        <v>1770.3</v>
      </c>
      <c r="E128" s="3">
        <v>247.6</v>
      </c>
      <c r="F128" s="3">
        <v>384.6</v>
      </c>
    </row>
    <row r="129" spans="1:6">
      <c r="A129" s="3" t="s">
        <v>16</v>
      </c>
      <c r="B129" s="3">
        <v>2016</v>
      </c>
      <c r="C129" s="3" t="s">
        <v>31</v>
      </c>
      <c r="D129" s="3">
        <v>1811.5</v>
      </c>
      <c r="E129" s="3">
        <v>240.9</v>
      </c>
      <c r="F129" s="3">
        <v>365.4</v>
      </c>
    </row>
    <row r="130" spans="1:6">
      <c r="A130" s="3" t="s">
        <v>17</v>
      </c>
      <c r="B130" s="3">
        <v>2016</v>
      </c>
      <c r="C130" s="3" t="s">
        <v>31</v>
      </c>
      <c r="D130" s="3">
        <v>1783.5</v>
      </c>
      <c r="E130" s="3">
        <v>245</v>
      </c>
      <c r="F130" s="3">
        <v>376.7</v>
      </c>
    </row>
    <row r="131" spans="1:6">
      <c r="A131" s="3" t="s">
        <v>14</v>
      </c>
      <c r="B131" s="3">
        <v>2016</v>
      </c>
      <c r="C131" s="3" t="s">
        <v>32</v>
      </c>
      <c r="D131" s="3">
        <v>1777.5</v>
      </c>
      <c r="E131" s="3">
        <v>249</v>
      </c>
      <c r="F131" s="3">
        <v>387</v>
      </c>
    </row>
    <row r="132" spans="1:6">
      <c r="A132" s="3" t="s">
        <v>16</v>
      </c>
      <c r="B132" s="3">
        <v>2016</v>
      </c>
      <c r="C132" s="3" t="s">
        <v>32</v>
      </c>
      <c r="D132" s="3">
        <v>1784</v>
      </c>
      <c r="E132" s="3">
        <v>242.1</v>
      </c>
      <c r="F132" s="3">
        <v>365.9</v>
      </c>
    </row>
    <row r="133" spans="1:6">
      <c r="A133" s="3" t="s">
        <v>17</v>
      </c>
      <c r="B133" s="3">
        <v>2016</v>
      </c>
      <c r="C133" s="3" t="s">
        <v>32</v>
      </c>
      <c r="D133" s="3">
        <v>1777.9</v>
      </c>
      <c r="E133" s="3">
        <v>246.3</v>
      </c>
      <c r="F133" s="3">
        <v>378.3</v>
      </c>
    </row>
    <row r="134" spans="1:6">
      <c r="A134" s="3" t="s">
        <v>14</v>
      </c>
      <c r="B134" s="3">
        <v>2016</v>
      </c>
      <c r="C134" s="3" t="s">
        <v>33</v>
      </c>
      <c r="D134" s="3">
        <v>1770.7</v>
      </c>
      <c r="E134" s="3">
        <v>250.6</v>
      </c>
      <c r="F134" s="3">
        <v>388.7</v>
      </c>
    </row>
    <row r="135" spans="1:6">
      <c r="A135" s="3" t="s">
        <v>16</v>
      </c>
      <c r="B135" s="3">
        <v>2016</v>
      </c>
      <c r="C135" s="3" t="s">
        <v>33</v>
      </c>
      <c r="D135" s="3">
        <v>1756.4</v>
      </c>
      <c r="E135" s="3">
        <v>242.6</v>
      </c>
      <c r="F135" s="3">
        <v>367</v>
      </c>
    </row>
    <row r="136" spans="1:6">
      <c r="A136" s="3" t="s">
        <v>17</v>
      </c>
      <c r="B136" s="3">
        <v>2016</v>
      </c>
      <c r="C136" s="3" t="s">
        <v>33</v>
      </c>
      <c r="D136" s="3">
        <v>1763.7</v>
      </c>
      <c r="E136" s="3">
        <v>247.5</v>
      </c>
      <c r="F136" s="3">
        <v>379.9</v>
      </c>
    </row>
    <row r="137" spans="1:6">
      <c r="A137" s="3" t="s">
        <v>14</v>
      </c>
      <c r="B137" s="3">
        <v>2016</v>
      </c>
      <c r="C137" s="3" t="s">
        <v>34</v>
      </c>
      <c r="D137" s="3">
        <v>1771.8</v>
      </c>
      <c r="E137" s="3">
        <v>251.7</v>
      </c>
      <c r="F137" s="3">
        <v>390.3</v>
      </c>
    </row>
    <row r="138" spans="1:6">
      <c r="A138" s="3" t="s">
        <v>16</v>
      </c>
      <c r="B138" s="3">
        <v>2016</v>
      </c>
      <c r="C138" s="3" t="s">
        <v>34</v>
      </c>
      <c r="D138" s="3">
        <v>1762.9</v>
      </c>
      <c r="E138" s="3">
        <v>242.6</v>
      </c>
      <c r="F138" s="3">
        <v>368.4</v>
      </c>
    </row>
    <row r="139" spans="1:6">
      <c r="A139" s="3" t="s">
        <v>17</v>
      </c>
      <c r="B139" s="3">
        <v>2016</v>
      </c>
      <c r="C139" s="3" t="s">
        <v>34</v>
      </c>
      <c r="D139" s="3">
        <v>1766.8</v>
      </c>
      <c r="E139" s="3">
        <v>248.2</v>
      </c>
      <c r="F139" s="3">
        <v>381.4</v>
      </c>
    </row>
    <row r="140" spans="1:6">
      <c r="A140" s="3" t="s">
        <v>14</v>
      </c>
      <c r="B140" s="3">
        <v>2016</v>
      </c>
      <c r="C140" s="3" t="s">
        <v>36</v>
      </c>
      <c r="D140" s="3">
        <v>1764.6</v>
      </c>
      <c r="E140" s="3">
        <v>252.6</v>
      </c>
      <c r="F140" s="3">
        <v>391.5</v>
      </c>
    </row>
    <row r="141" spans="1:6">
      <c r="A141" s="3" t="s">
        <v>16</v>
      </c>
      <c r="B141" s="3">
        <v>2016</v>
      </c>
      <c r="C141" s="3" t="s">
        <v>36</v>
      </c>
      <c r="D141" s="3">
        <v>1755.2</v>
      </c>
      <c r="E141" s="3">
        <v>243.4</v>
      </c>
      <c r="F141" s="3">
        <v>370</v>
      </c>
    </row>
    <row r="142" spans="1:6">
      <c r="A142" s="3" t="s">
        <v>17</v>
      </c>
      <c r="B142" s="3">
        <v>2016</v>
      </c>
      <c r="C142" s="3" t="s">
        <v>36</v>
      </c>
      <c r="D142" s="3">
        <v>1759.8</v>
      </c>
      <c r="E142" s="3">
        <v>249</v>
      </c>
      <c r="F142" s="3">
        <v>382.7</v>
      </c>
    </row>
    <row r="143" spans="1:6">
      <c r="A143" s="3" t="s">
        <v>14</v>
      </c>
      <c r="B143" s="3">
        <v>2016</v>
      </c>
      <c r="C143" s="3" t="s">
        <v>37</v>
      </c>
      <c r="D143" s="3">
        <v>1749.1</v>
      </c>
      <c r="E143" s="3">
        <v>251.6</v>
      </c>
      <c r="F143" s="3">
        <v>393.4</v>
      </c>
    </row>
    <row r="144" spans="1:6">
      <c r="A144" s="3" t="s">
        <v>16</v>
      </c>
      <c r="B144" s="3">
        <v>2016</v>
      </c>
      <c r="C144" s="3" t="s">
        <v>37</v>
      </c>
      <c r="D144" s="3">
        <v>1729.8</v>
      </c>
      <c r="E144" s="3">
        <v>242.2</v>
      </c>
      <c r="F144" s="3">
        <v>371.3</v>
      </c>
    </row>
    <row r="145" spans="1:6">
      <c r="A145" s="3" t="s">
        <v>17</v>
      </c>
      <c r="B145" s="3">
        <v>2016</v>
      </c>
      <c r="C145" s="3" t="s">
        <v>37</v>
      </c>
      <c r="D145" s="3">
        <v>1740.7</v>
      </c>
      <c r="E145" s="3">
        <v>248</v>
      </c>
      <c r="F145" s="3">
        <v>384.3</v>
      </c>
    </row>
    <row r="146" spans="1:6">
      <c r="A146" s="3" t="s">
        <v>14</v>
      </c>
      <c r="B146" s="3">
        <v>2017</v>
      </c>
      <c r="C146" s="3" t="s">
        <v>19</v>
      </c>
      <c r="D146" s="3">
        <v>1737.3</v>
      </c>
      <c r="E146" s="3">
        <v>252.2</v>
      </c>
      <c r="F146" s="3">
        <v>394.9</v>
      </c>
    </row>
    <row r="147" spans="1:6">
      <c r="A147" s="3" t="s">
        <v>16</v>
      </c>
      <c r="B147" s="3">
        <v>2017</v>
      </c>
      <c r="C147" s="3" t="s">
        <v>19</v>
      </c>
      <c r="D147" s="3">
        <v>1713.2</v>
      </c>
      <c r="E147" s="3">
        <v>243.5</v>
      </c>
      <c r="F147" s="3">
        <v>372.7</v>
      </c>
    </row>
    <row r="148" spans="1:6">
      <c r="A148" s="3" t="s">
        <v>17</v>
      </c>
      <c r="B148" s="3">
        <v>2017</v>
      </c>
      <c r="C148" s="3" t="s">
        <v>19</v>
      </c>
      <c r="D148" s="3">
        <v>1727.3</v>
      </c>
      <c r="E148" s="3">
        <v>248.8</v>
      </c>
      <c r="F148" s="3">
        <v>385.8</v>
      </c>
    </row>
    <row r="149" spans="1:6">
      <c r="A149" s="3" t="s">
        <v>14</v>
      </c>
      <c r="B149" s="3">
        <v>2017</v>
      </c>
      <c r="C149" s="3" t="s">
        <v>20</v>
      </c>
      <c r="D149" s="3">
        <v>1734.5</v>
      </c>
      <c r="E149" s="3">
        <v>253.3</v>
      </c>
      <c r="F149" s="3">
        <v>397.3</v>
      </c>
    </row>
    <row r="150" spans="1:6">
      <c r="A150" s="3" t="s">
        <v>16</v>
      </c>
      <c r="B150" s="3">
        <v>2017</v>
      </c>
      <c r="C150" s="3" t="s">
        <v>20</v>
      </c>
      <c r="D150" s="3">
        <v>1705.3</v>
      </c>
      <c r="E150" s="3">
        <v>244.6</v>
      </c>
      <c r="F150" s="3">
        <v>375</v>
      </c>
    </row>
    <row r="151" spans="1:6">
      <c r="A151" s="3" t="s">
        <v>17</v>
      </c>
      <c r="B151" s="3">
        <v>2017</v>
      </c>
      <c r="C151" s="3" t="s">
        <v>20</v>
      </c>
      <c r="D151" s="3">
        <v>1722.3</v>
      </c>
      <c r="E151" s="3">
        <v>250</v>
      </c>
      <c r="F151" s="3">
        <v>388.1</v>
      </c>
    </row>
    <row r="152" spans="1:6">
      <c r="A152" s="3" t="s">
        <v>14</v>
      </c>
      <c r="B152" s="3">
        <v>2017</v>
      </c>
      <c r="C152" s="3" t="s">
        <v>26</v>
      </c>
      <c r="D152" s="3">
        <v>1728.5</v>
      </c>
      <c r="E152" s="3">
        <v>253.9</v>
      </c>
      <c r="F152" s="3">
        <v>399.4</v>
      </c>
    </row>
    <row r="153" spans="1:6">
      <c r="A153" s="3" t="s">
        <v>16</v>
      </c>
      <c r="B153" s="3">
        <v>2017</v>
      </c>
      <c r="C153" s="3" t="s">
        <v>26</v>
      </c>
      <c r="D153" s="3">
        <v>1705.7</v>
      </c>
      <c r="E153" s="3">
        <v>244.8</v>
      </c>
      <c r="F153" s="3">
        <v>377.5</v>
      </c>
    </row>
    <row r="154" spans="1:6">
      <c r="A154" s="3" t="s">
        <v>17</v>
      </c>
      <c r="B154" s="3">
        <v>2017</v>
      </c>
      <c r="C154" s="3" t="s">
        <v>26</v>
      </c>
      <c r="D154" s="3">
        <v>1718.9</v>
      </c>
      <c r="E154" s="3">
        <v>250.4</v>
      </c>
      <c r="F154" s="3">
        <v>390.3</v>
      </c>
    </row>
    <row r="155" spans="1:6">
      <c r="A155" s="3" t="s">
        <v>14</v>
      </c>
      <c r="B155" s="3">
        <v>2017</v>
      </c>
      <c r="C155" s="3" t="s">
        <v>29</v>
      </c>
      <c r="D155" s="3">
        <v>1726.3</v>
      </c>
      <c r="E155" s="3">
        <v>254.7</v>
      </c>
      <c r="F155" s="3">
        <v>401</v>
      </c>
    </row>
    <row r="156" spans="1:6">
      <c r="A156" s="3" t="s">
        <v>16</v>
      </c>
      <c r="B156" s="3">
        <v>2017</v>
      </c>
      <c r="C156" s="3" t="s">
        <v>29</v>
      </c>
      <c r="D156" s="3">
        <v>1708.1</v>
      </c>
      <c r="E156" s="3">
        <v>245.6</v>
      </c>
      <c r="F156" s="3">
        <v>379.1</v>
      </c>
    </row>
    <row r="157" spans="1:6">
      <c r="A157" s="3" t="s">
        <v>17</v>
      </c>
      <c r="B157" s="3">
        <v>2017</v>
      </c>
      <c r="C157" s="3" t="s">
        <v>29</v>
      </c>
      <c r="D157" s="3">
        <v>1718.4</v>
      </c>
      <c r="E157" s="3">
        <v>251.2</v>
      </c>
      <c r="F157" s="3">
        <v>391.9</v>
      </c>
    </row>
    <row r="158" spans="1:6">
      <c r="A158" s="3" t="s">
        <v>14</v>
      </c>
      <c r="B158" s="3">
        <v>2017</v>
      </c>
      <c r="C158" s="3" t="s">
        <v>15</v>
      </c>
      <c r="D158" s="3">
        <v>1727.5</v>
      </c>
      <c r="E158" s="3">
        <v>255.1</v>
      </c>
      <c r="F158" s="3">
        <v>402</v>
      </c>
    </row>
    <row r="159" spans="1:6">
      <c r="A159" s="3" t="s">
        <v>16</v>
      </c>
      <c r="B159" s="3">
        <v>2017</v>
      </c>
      <c r="C159" s="3" t="s">
        <v>15</v>
      </c>
      <c r="D159" s="3">
        <v>1709.6</v>
      </c>
      <c r="E159" s="3">
        <v>245.6</v>
      </c>
      <c r="F159" s="3">
        <v>378.7</v>
      </c>
    </row>
    <row r="160" spans="1:6">
      <c r="A160" s="3" t="s">
        <v>17</v>
      </c>
      <c r="B160" s="3">
        <v>2017</v>
      </c>
      <c r="C160" s="3" t="s">
        <v>15</v>
      </c>
      <c r="D160" s="3">
        <v>1719.6</v>
      </c>
      <c r="E160" s="3">
        <v>251.4</v>
      </c>
      <c r="F160" s="3">
        <v>392.4</v>
      </c>
    </row>
    <row r="161" spans="1:6">
      <c r="A161" s="3" t="s">
        <v>14</v>
      </c>
      <c r="B161" s="3">
        <v>2017</v>
      </c>
      <c r="C161" s="3" t="s">
        <v>30</v>
      </c>
      <c r="D161" s="3">
        <v>1738.8</v>
      </c>
      <c r="E161" s="3">
        <v>255.4</v>
      </c>
      <c r="F161" s="3">
        <v>401.4</v>
      </c>
    </row>
    <row r="162" spans="1:6">
      <c r="A162" s="3" t="s">
        <v>16</v>
      </c>
      <c r="B162" s="3">
        <v>2017</v>
      </c>
      <c r="C162" s="3" t="s">
        <v>30</v>
      </c>
      <c r="D162" s="3">
        <v>1731</v>
      </c>
      <c r="E162" s="3">
        <v>246.3</v>
      </c>
      <c r="F162" s="3">
        <v>377.2</v>
      </c>
    </row>
    <row r="163" spans="1:6">
      <c r="A163" s="3" t="s">
        <v>17</v>
      </c>
      <c r="B163" s="3">
        <v>2017</v>
      </c>
      <c r="C163" s="3" t="s">
        <v>30</v>
      </c>
      <c r="D163" s="3">
        <v>1734.7</v>
      </c>
      <c r="E163" s="3">
        <v>251.9</v>
      </c>
      <c r="F163" s="3">
        <v>391.4</v>
      </c>
    </row>
    <row r="164" spans="1:6">
      <c r="A164" s="3" t="s">
        <v>14</v>
      </c>
      <c r="B164" s="3">
        <v>2017</v>
      </c>
      <c r="C164" s="3" t="s">
        <v>31</v>
      </c>
      <c r="D164" s="3">
        <v>1772.9</v>
      </c>
      <c r="E164" s="3">
        <v>256.5</v>
      </c>
      <c r="F164" s="3">
        <v>404</v>
      </c>
    </row>
    <row r="165" spans="1:6">
      <c r="A165" s="3" t="s">
        <v>16</v>
      </c>
      <c r="B165" s="3">
        <v>2017</v>
      </c>
      <c r="C165" s="3" t="s">
        <v>31</v>
      </c>
      <c r="D165" s="3">
        <v>1768.1</v>
      </c>
      <c r="E165" s="3">
        <v>247.4</v>
      </c>
      <c r="F165" s="3">
        <v>379.5</v>
      </c>
    </row>
    <row r="166" spans="1:6">
      <c r="A166" s="3" t="s">
        <v>17</v>
      </c>
      <c r="B166" s="3">
        <v>2017</v>
      </c>
      <c r="C166" s="3" t="s">
        <v>31</v>
      </c>
      <c r="D166" s="3">
        <v>1769.4</v>
      </c>
      <c r="E166" s="3">
        <v>253</v>
      </c>
      <c r="F166" s="3">
        <v>393.9</v>
      </c>
    </row>
    <row r="167" spans="1:6">
      <c r="A167" s="3" t="s">
        <v>14</v>
      </c>
      <c r="B167" s="3">
        <v>2017</v>
      </c>
      <c r="C167" s="3" t="s">
        <v>32</v>
      </c>
      <c r="D167" s="3">
        <v>1792.5</v>
      </c>
      <c r="E167" s="3">
        <v>258.4</v>
      </c>
      <c r="F167" s="3">
        <v>408.1</v>
      </c>
    </row>
    <row r="168" spans="1:6">
      <c r="A168" s="3" t="s">
        <v>16</v>
      </c>
      <c r="B168" s="3">
        <v>2017</v>
      </c>
      <c r="C168" s="3" t="s">
        <v>32</v>
      </c>
      <c r="D168" s="3">
        <v>1773</v>
      </c>
      <c r="E168" s="3">
        <v>249</v>
      </c>
      <c r="F168" s="3">
        <v>381</v>
      </c>
    </row>
    <row r="169" spans="1:6">
      <c r="A169" s="3" t="s">
        <v>17</v>
      </c>
      <c r="B169" s="3">
        <v>2017</v>
      </c>
      <c r="C169" s="3" t="s">
        <v>32</v>
      </c>
      <c r="D169" s="3">
        <v>1783.8</v>
      </c>
      <c r="E169" s="3">
        <v>254.7</v>
      </c>
      <c r="F169" s="3">
        <v>397</v>
      </c>
    </row>
    <row r="170" spans="1:6">
      <c r="A170" s="3" t="s">
        <v>14</v>
      </c>
      <c r="B170" s="3">
        <v>2017</v>
      </c>
      <c r="C170" s="3" t="s">
        <v>33</v>
      </c>
      <c r="D170" s="3">
        <v>1784.3</v>
      </c>
      <c r="E170" s="3">
        <v>260.1</v>
      </c>
      <c r="F170" s="3">
        <v>411</v>
      </c>
    </row>
    <row r="171" spans="1:6">
      <c r="A171" s="3" t="s">
        <v>16</v>
      </c>
      <c r="B171" s="3">
        <v>2017</v>
      </c>
      <c r="C171" s="3" t="s">
        <v>33</v>
      </c>
      <c r="D171" s="3">
        <v>1749.7</v>
      </c>
      <c r="E171" s="3">
        <v>250.5</v>
      </c>
      <c r="F171" s="3">
        <v>384.4</v>
      </c>
    </row>
    <row r="172" spans="1:6">
      <c r="A172" s="3" t="s">
        <v>17</v>
      </c>
      <c r="B172" s="3">
        <v>2017</v>
      </c>
      <c r="C172" s="3" t="s">
        <v>33</v>
      </c>
      <c r="D172" s="3">
        <v>1770</v>
      </c>
      <c r="E172" s="3">
        <v>256.3</v>
      </c>
      <c r="F172" s="3">
        <v>400</v>
      </c>
    </row>
    <row r="173" spans="1:6">
      <c r="A173" s="3" t="s">
        <v>14</v>
      </c>
      <c r="B173" s="3">
        <v>2017</v>
      </c>
      <c r="C173" s="3" t="s">
        <v>34</v>
      </c>
      <c r="D173" s="3">
        <v>1790.9</v>
      </c>
      <c r="E173" s="3">
        <v>261.6</v>
      </c>
      <c r="F173" s="3">
        <v>413.8</v>
      </c>
    </row>
    <row r="174" spans="1:6">
      <c r="A174" s="3" t="s">
        <v>16</v>
      </c>
      <c r="B174" s="3">
        <v>2017</v>
      </c>
      <c r="C174" s="3" t="s">
        <v>34</v>
      </c>
      <c r="D174" s="3">
        <v>1765.7</v>
      </c>
      <c r="E174" s="3">
        <v>251.2</v>
      </c>
      <c r="F174" s="3">
        <v>388.2</v>
      </c>
    </row>
    <row r="175" spans="1:6">
      <c r="A175" s="3" t="s">
        <v>17</v>
      </c>
      <c r="B175" s="3">
        <v>2017</v>
      </c>
      <c r="C175" s="3" t="s">
        <v>34</v>
      </c>
      <c r="D175" s="3">
        <v>1779.7</v>
      </c>
      <c r="E175" s="3">
        <v>257.5</v>
      </c>
      <c r="F175" s="3">
        <v>403.1</v>
      </c>
    </row>
    <row r="176" spans="1:6">
      <c r="A176" s="3" t="s">
        <v>14</v>
      </c>
      <c r="B176" s="3">
        <v>2017</v>
      </c>
      <c r="C176" s="3" t="s">
        <v>36</v>
      </c>
      <c r="D176" s="3">
        <v>1817.7</v>
      </c>
      <c r="E176" s="3">
        <v>263.9</v>
      </c>
      <c r="F176" s="3">
        <v>419.1</v>
      </c>
    </row>
    <row r="177" spans="1:6">
      <c r="A177" s="3" t="s">
        <v>16</v>
      </c>
      <c r="B177" s="3">
        <v>2017</v>
      </c>
      <c r="C177" s="3" t="s">
        <v>36</v>
      </c>
      <c r="D177" s="3">
        <v>1796.7</v>
      </c>
      <c r="E177" s="3">
        <v>252.3</v>
      </c>
      <c r="F177" s="3">
        <v>393.1</v>
      </c>
    </row>
    <row r="178" spans="1:6">
      <c r="A178" s="3" t="s">
        <v>17</v>
      </c>
      <c r="B178" s="3">
        <v>2017</v>
      </c>
      <c r="C178" s="3" t="s">
        <v>36</v>
      </c>
      <c r="D178" s="3">
        <v>1808.2</v>
      </c>
      <c r="E178" s="3">
        <v>259.4</v>
      </c>
      <c r="F178" s="3">
        <v>408.3</v>
      </c>
    </row>
    <row r="179" spans="1:6">
      <c r="A179" s="3" t="s">
        <v>14</v>
      </c>
      <c r="B179" s="3">
        <v>2017</v>
      </c>
      <c r="C179" s="3" t="s">
        <v>37</v>
      </c>
      <c r="D179" s="3">
        <v>1813.6</v>
      </c>
      <c r="E179" s="3">
        <v>263.9</v>
      </c>
      <c r="F179" s="3">
        <v>421.2</v>
      </c>
    </row>
    <row r="180" spans="1:6">
      <c r="A180" s="3" t="s">
        <v>16</v>
      </c>
      <c r="B180" s="3">
        <v>2017</v>
      </c>
      <c r="C180" s="3" t="s">
        <v>37</v>
      </c>
      <c r="D180" s="3">
        <v>1767.5</v>
      </c>
      <c r="E180" s="3">
        <v>252.8</v>
      </c>
      <c r="F180" s="3">
        <v>395.2</v>
      </c>
    </row>
    <row r="181" spans="1:6">
      <c r="A181" s="3" t="s">
        <v>17</v>
      </c>
      <c r="B181" s="3">
        <v>2017</v>
      </c>
      <c r="C181" s="3" t="s">
        <v>37</v>
      </c>
      <c r="D181" s="3">
        <v>1795</v>
      </c>
      <c r="E181" s="3">
        <v>259.6</v>
      </c>
      <c r="F181" s="3">
        <v>410.4</v>
      </c>
    </row>
    <row r="182" spans="1:6">
      <c r="A182" s="3" t="s">
        <v>14</v>
      </c>
      <c r="B182" s="3">
        <v>2018</v>
      </c>
      <c r="C182" s="3" t="s">
        <v>19</v>
      </c>
      <c r="D182" s="3">
        <v>1800.7</v>
      </c>
      <c r="E182" s="3">
        <v>264.6</v>
      </c>
      <c r="F182" s="3">
        <v>422.5</v>
      </c>
    </row>
    <row r="183" spans="1:6">
      <c r="A183" s="3" t="s">
        <v>16</v>
      </c>
      <c r="B183" s="3">
        <v>2018</v>
      </c>
      <c r="C183" s="3" t="s">
        <v>19</v>
      </c>
      <c r="D183" s="3">
        <v>1748.3</v>
      </c>
      <c r="E183" s="3">
        <v>254.5</v>
      </c>
      <c r="F183" s="3">
        <v>397.2</v>
      </c>
    </row>
    <row r="184" spans="1:6">
      <c r="A184" s="3" t="s">
        <v>17</v>
      </c>
      <c r="B184" s="3">
        <v>2018</v>
      </c>
      <c r="C184" s="3" t="s">
        <v>19</v>
      </c>
      <c r="D184" s="3">
        <v>1779.9</v>
      </c>
      <c r="E184" s="3">
        <v>260.6</v>
      </c>
      <c r="F184" s="3">
        <v>411.9</v>
      </c>
    </row>
    <row r="185" spans="1:6">
      <c r="A185" s="3" t="s">
        <v>14</v>
      </c>
      <c r="B185" s="3">
        <v>2018</v>
      </c>
      <c r="C185" s="3" t="s">
        <v>20</v>
      </c>
      <c r="D185" s="3">
        <v>1781.5</v>
      </c>
      <c r="E185" s="3">
        <v>265</v>
      </c>
      <c r="F185" s="3">
        <v>423.6</v>
      </c>
    </row>
    <row r="186" spans="1:6">
      <c r="A186" s="3" t="s">
        <v>16</v>
      </c>
      <c r="B186" s="3">
        <v>2018</v>
      </c>
      <c r="C186" s="3" t="s">
        <v>20</v>
      </c>
      <c r="D186" s="3">
        <v>1727.9</v>
      </c>
      <c r="E186" s="3">
        <v>256</v>
      </c>
      <c r="F186" s="3">
        <v>398.5</v>
      </c>
    </row>
    <row r="187" spans="1:6">
      <c r="A187" s="3" t="s">
        <v>17</v>
      </c>
      <c r="B187" s="3">
        <v>2018</v>
      </c>
      <c r="C187" s="3" t="s">
        <v>20</v>
      </c>
      <c r="D187" s="3">
        <v>1760.4</v>
      </c>
      <c r="E187" s="3">
        <v>261.5</v>
      </c>
      <c r="F187" s="3">
        <v>413.2</v>
      </c>
    </row>
    <row r="188" spans="1:6">
      <c r="A188" s="3" t="s">
        <v>14</v>
      </c>
      <c r="B188" s="3">
        <v>2018</v>
      </c>
      <c r="C188" s="3" t="s">
        <v>26</v>
      </c>
      <c r="D188" s="3">
        <v>1782</v>
      </c>
      <c r="E188" s="3">
        <v>266</v>
      </c>
      <c r="F188" s="3">
        <v>424.5</v>
      </c>
    </row>
    <row r="189" spans="1:6">
      <c r="A189" s="3" t="s">
        <v>16</v>
      </c>
      <c r="B189" s="3">
        <v>2018</v>
      </c>
      <c r="C189" s="3" t="s">
        <v>26</v>
      </c>
      <c r="D189" s="3">
        <v>1715.5</v>
      </c>
      <c r="E189" s="3">
        <v>257.2</v>
      </c>
      <c r="F189" s="3">
        <v>399.2</v>
      </c>
    </row>
    <row r="190" spans="1:6">
      <c r="A190" s="3" t="s">
        <v>17</v>
      </c>
      <c r="B190" s="3">
        <v>2018</v>
      </c>
      <c r="C190" s="3" t="s">
        <v>26</v>
      </c>
      <c r="D190" s="3">
        <v>1756</v>
      </c>
      <c r="E190" s="3">
        <v>262.5</v>
      </c>
      <c r="F190" s="3">
        <v>414.1</v>
      </c>
    </row>
    <row r="191" spans="1:6">
      <c r="A191" s="3" t="s">
        <v>14</v>
      </c>
      <c r="B191" s="3">
        <v>2018</v>
      </c>
      <c r="C191" s="3" t="s">
        <v>29</v>
      </c>
      <c r="D191" s="3">
        <v>1780</v>
      </c>
      <c r="E191" s="3">
        <v>268</v>
      </c>
      <c r="F191" s="3">
        <v>427.6</v>
      </c>
    </row>
    <row r="192" spans="1:6">
      <c r="A192" s="3" t="s">
        <v>16</v>
      </c>
      <c r="B192" s="3">
        <v>2018</v>
      </c>
      <c r="C192" s="3" t="s">
        <v>29</v>
      </c>
      <c r="D192" s="3">
        <v>1720</v>
      </c>
      <c r="E192" s="3">
        <v>258.9</v>
      </c>
      <c r="F192" s="3">
        <v>399.3</v>
      </c>
    </row>
    <row r="193" spans="1:6">
      <c r="A193" s="3" t="s">
        <v>17</v>
      </c>
      <c r="B193" s="3">
        <v>2018</v>
      </c>
      <c r="C193" s="3" t="s">
        <v>29</v>
      </c>
      <c r="D193" s="3">
        <v>1757.1</v>
      </c>
      <c r="E193" s="3">
        <v>264.4</v>
      </c>
      <c r="F193" s="3">
        <v>416</v>
      </c>
    </row>
    <row r="194" spans="1:6">
      <c r="A194" s="3" t="s">
        <v>14</v>
      </c>
      <c r="B194" s="3">
        <v>2018</v>
      </c>
      <c r="C194" s="3" t="s">
        <v>15</v>
      </c>
      <c r="D194" s="3">
        <v>1782.4</v>
      </c>
      <c r="E194" s="3">
        <v>269.6</v>
      </c>
      <c r="F194" s="3">
        <v>429.3</v>
      </c>
    </row>
    <row r="195" spans="1:6">
      <c r="A195" s="3" t="s">
        <v>16</v>
      </c>
      <c r="B195" s="3">
        <v>2018</v>
      </c>
      <c r="C195" s="3" t="s">
        <v>15</v>
      </c>
      <c r="D195" s="3">
        <v>1722.9</v>
      </c>
      <c r="E195" s="3">
        <v>260.1</v>
      </c>
      <c r="F195" s="3">
        <v>400.4</v>
      </c>
    </row>
    <row r="196" spans="1:6">
      <c r="A196" s="3" t="s">
        <v>17</v>
      </c>
      <c r="B196" s="3">
        <v>2018</v>
      </c>
      <c r="C196" s="3" t="s">
        <v>15</v>
      </c>
      <c r="D196" s="3">
        <v>1759.8</v>
      </c>
      <c r="E196" s="3">
        <v>265.9</v>
      </c>
      <c r="F196" s="3">
        <v>417.5</v>
      </c>
    </row>
    <row r="197" spans="1:6">
      <c r="A197" s="3" t="s">
        <v>14</v>
      </c>
      <c r="B197" s="3">
        <v>2018</v>
      </c>
      <c r="C197" s="3" t="s">
        <v>30</v>
      </c>
      <c r="D197" s="3">
        <v>1790.3</v>
      </c>
      <c r="E197" s="3">
        <v>269.8</v>
      </c>
      <c r="F197" s="3">
        <v>429.8</v>
      </c>
    </row>
    <row r="198" spans="1:6">
      <c r="A198" s="3" t="s">
        <v>16</v>
      </c>
      <c r="B198" s="3">
        <v>2018</v>
      </c>
      <c r="C198" s="3" t="s">
        <v>30</v>
      </c>
      <c r="D198" s="3">
        <v>1747.3</v>
      </c>
      <c r="E198" s="3">
        <v>260.8</v>
      </c>
      <c r="F198" s="3">
        <v>402.1</v>
      </c>
    </row>
    <row r="199" spans="1:6">
      <c r="A199" s="3" t="s">
        <v>17</v>
      </c>
      <c r="B199" s="3">
        <v>2018</v>
      </c>
      <c r="C199" s="3" t="s">
        <v>30</v>
      </c>
      <c r="D199" s="3">
        <v>1774.1</v>
      </c>
      <c r="E199" s="3">
        <v>266.3</v>
      </c>
      <c r="F199" s="3">
        <v>418.5</v>
      </c>
    </row>
    <row r="200" spans="1:6">
      <c r="A200" s="3" t="s">
        <v>14</v>
      </c>
      <c r="B200" s="3">
        <v>2018</v>
      </c>
      <c r="C200" s="3" t="s">
        <v>31</v>
      </c>
      <c r="D200" s="3">
        <v>1810.5</v>
      </c>
      <c r="E200" s="3">
        <v>270.4</v>
      </c>
      <c r="F200" s="3">
        <v>433.5</v>
      </c>
    </row>
    <row r="201" spans="1:6">
      <c r="A201" s="3" t="s">
        <v>16</v>
      </c>
      <c r="B201" s="3">
        <v>2018</v>
      </c>
      <c r="C201" s="3" t="s">
        <v>31</v>
      </c>
      <c r="D201" s="3">
        <v>1771.1</v>
      </c>
      <c r="E201" s="3">
        <v>261.8</v>
      </c>
      <c r="F201" s="3">
        <v>405.3</v>
      </c>
    </row>
    <row r="202" spans="1:6">
      <c r="A202" s="3" t="s">
        <v>17</v>
      </c>
      <c r="B202" s="3">
        <v>2018</v>
      </c>
      <c r="C202" s="3" t="s">
        <v>31</v>
      </c>
      <c r="D202" s="3">
        <v>1795.3</v>
      </c>
      <c r="E202" s="3">
        <v>267.1</v>
      </c>
      <c r="F202" s="3">
        <v>421.9</v>
      </c>
    </row>
    <row r="203" spans="1:6">
      <c r="A203" s="3" t="s">
        <v>14</v>
      </c>
      <c r="B203" s="3">
        <v>2018</v>
      </c>
      <c r="C203" s="3" t="s">
        <v>32</v>
      </c>
      <c r="D203" s="3">
        <v>1818.8</v>
      </c>
      <c r="E203" s="3">
        <v>270.7</v>
      </c>
      <c r="F203" s="3">
        <v>436.1</v>
      </c>
    </row>
    <row r="204" spans="1:6">
      <c r="A204" s="3" t="s">
        <v>16</v>
      </c>
      <c r="B204" s="3">
        <v>2018</v>
      </c>
      <c r="C204" s="3" t="s">
        <v>32</v>
      </c>
      <c r="D204" s="3">
        <v>1767.6</v>
      </c>
      <c r="E204" s="3">
        <v>263.2</v>
      </c>
      <c r="F204" s="3">
        <v>408.8</v>
      </c>
    </row>
    <row r="205" spans="1:6">
      <c r="A205" s="3" t="s">
        <v>17</v>
      </c>
      <c r="B205" s="3">
        <v>2018</v>
      </c>
      <c r="C205" s="3" t="s">
        <v>32</v>
      </c>
      <c r="D205" s="3">
        <v>1798.7</v>
      </c>
      <c r="E205" s="3">
        <v>267.8</v>
      </c>
      <c r="F205" s="3">
        <v>424.9</v>
      </c>
    </row>
    <row r="206" spans="1:6">
      <c r="A206" s="3" t="s">
        <v>14</v>
      </c>
      <c r="B206" s="3">
        <v>2018</v>
      </c>
      <c r="C206" s="3" t="s">
        <v>33</v>
      </c>
      <c r="D206" s="3">
        <v>1799.8</v>
      </c>
      <c r="E206" s="3">
        <v>272</v>
      </c>
      <c r="F206" s="3">
        <v>438.3</v>
      </c>
    </row>
    <row r="207" spans="1:6">
      <c r="A207" s="3" t="s">
        <v>16</v>
      </c>
      <c r="B207" s="3">
        <v>2018</v>
      </c>
      <c r="C207" s="3" t="s">
        <v>33</v>
      </c>
      <c r="D207" s="3">
        <v>1748.4</v>
      </c>
      <c r="E207" s="3">
        <v>265</v>
      </c>
      <c r="F207" s="3">
        <v>411.4</v>
      </c>
    </row>
    <row r="208" spans="1:6">
      <c r="A208" s="3" t="s">
        <v>17</v>
      </c>
      <c r="B208" s="3">
        <v>2018</v>
      </c>
      <c r="C208" s="3" t="s">
        <v>33</v>
      </c>
      <c r="D208" s="3">
        <v>1779.5</v>
      </c>
      <c r="E208" s="3">
        <v>269.3</v>
      </c>
      <c r="F208" s="3">
        <v>427.3</v>
      </c>
    </row>
    <row r="209" spans="1:6">
      <c r="A209" s="3" t="s">
        <v>14</v>
      </c>
      <c r="B209" s="3">
        <v>2018</v>
      </c>
      <c r="C209" s="3" t="s">
        <v>34</v>
      </c>
      <c r="D209" s="3">
        <v>1782.2</v>
      </c>
      <c r="E209" s="3">
        <v>279.2</v>
      </c>
      <c r="F209" s="3">
        <v>443.5</v>
      </c>
    </row>
    <row r="210" spans="1:6">
      <c r="A210" s="3" t="s">
        <v>16</v>
      </c>
      <c r="B210" s="3">
        <v>2018</v>
      </c>
      <c r="C210" s="3" t="s">
        <v>34</v>
      </c>
      <c r="D210" s="3">
        <v>1754.1</v>
      </c>
      <c r="E210" s="3">
        <v>266.6</v>
      </c>
      <c r="F210" s="3">
        <v>414.8</v>
      </c>
    </row>
    <row r="211" spans="1:6">
      <c r="A211" s="3" t="s">
        <v>17</v>
      </c>
      <c r="B211" s="3">
        <v>2018</v>
      </c>
      <c r="C211" s="3" t="s">
        <v>34</v>
      </c>
      <c r="D211" s="3">
        <v>1776.2</v>
      </c>
      <c r="E211" s="3">
        <v>274.1</v>
      </c>
      <c r="F211" s="3">
        <v>434.4</v>
      </c>
    </row>
    <row r="212" spans="1:6">
      <c r="A212" s="3" t="s">
        <v>14</v>
      </c>
      <c r="B212" s="3">
        <v>2018</v>
      </c>
      <c r="C212" s="3" t="s">
        <v>36</v>
      </c>
      <c r="D212" s="3">
        <v>1787.5</v>
      </c>
      <c r="E212" s="3">
        <v>278.5</v>
      </c>
      <c r="F212" s="3">
        <v>445.2</v>
      </c>
    </row>
    <row r="213" spans="1:6">
      <c r="A213" s="3" t="s">
        <v>16</v>
      </c>
      <c r="B213" s="3">
        <v>2018</v>
      </c>
      <c r="C213" s="3" t="s">
        <v>36</v>
      </c>
      <c r="D213" s="3">
        <v>1757.5</v>
      </c>
      <c r="E213" s="3">
        <v>267.3</v>
      </c>
      <c r="F213" s="3">
        <v>419.4</v>
      </c>
    </row>
    <row r="214" spans="1:6">
      <c r="A214" s="3" t="s">
        <v>17</v>
      </c>
      <c r="B214" s="3">
        <v>2018</v>
      </c>
      <c r="C214" s="3" t="s">
        <v>36</v>
      </c>
      <c r="D214" s="3">
        <v>1775.7</v>
      </c>
      <c r="E214" s="3">
        <v>274.1</v>
      </c>
      <c r="F214" s="3">
        <v>434.2</v>
      </c>
    </row>
    <row r="215" spans="1:6">
      <c r="A215" s="3" t="s">
        <v>14</v>
      </c>
      <c r="B215" s="3">
        <v>2018</v>
      </c>
      <c r="C215" s="3" t="s">
        <v>37</v>
      </c>
      <c r="D215" s="3">
        <v>1773.1</v>
      </c>
      <c r="E215" s="3">
        <v>282.8</v>
      </c>
      <c r="F215" s="3">
        <v>445</v>
      </c>
    </row>
    <row r="216" spans="1:6">
      <c r="A216" s="3" t="s">
        <v>16</v>
      </c>
      <c r="B216" s="3">
        <v>2018</v>
      </c>
      <c r="C216" s="3" t="s">
        <v>37</v>
      </c>
      <c r="D216" s="3">
        <v>1746.6</v>
      </c>
      <c r="E216" s="3">
        <v>268.1</v>
      </c>
      <c r="F216" s="3">
        <v>415.1</v>
      </c>
    </row>
    <row r="217" spans="1:6">
      <c r="A217" s="3" t="s">
        <v>17</v>
      </c>
      <c r="B217" s="3">
        <v>2018</v>
      </c>
      <c r="C217" s="3" t="s">
        <v>37</v>
      </c>
      <c r="D217" s="3">
        <v>1762.8</v>
      </c>
      <c r="E217" s="3">
        <v>277.1</v>
      </c>
      <c r="F217" s="3">
        <v>432.4</v>
      </c>
    </row>
    <row r="218" spans="1:6">
      <c r="A218" s="3" t="s">
        <v>14</v>
      </c>
      <c r="B218" s="3">
        <v>2019</v>
      </c>
      <c r="C218" s="3" t="s">
        <v>19</v>
      </c>
      <c r="D218" s="3">
        <v>1759.6</v>
      </c>
      <c r="E218" s="3">
        <v>283.1</v>
      </c>
      <c r="F218" s="3">
        <v>444</v>
      </c>
    </row>
    <row r="219" spans="1:6">
      <c r="A219" s="3" t="s">
        <v>16</v>
      </c>
      <c r="B219" s="3">
        <v>2019</v>
      </c>
      <c r="C219" s="3" t="s">
        <v>19</v>
      </c>
      <c r="D219" s="3">
        <v>1744.3</v>
      </c>
      <c r="E219" s="3">
        <v>269.5</v>
      </c>
      <c r="F219" s="3">
        <v>412.6</v>
      </c>
    </row>
    <row r="220" spans="1:6">
      <c r="A220" s="3" t="s">
        <v>17</v>
      </c>
      <c r="B220" s="3">
        <v>2019</v>
      </c>
      <c r="C220" s="3" t="s">
        <v>19</v>
      </c>
      <c r="D220" s="3">
        <v>1753.4</v>
      </c>
      <c r="E220" s="3">
        <v>277.9</v>
      </c>
      <c r="F220" s="3">
        <v>430.8</v>
      </c>
    </row>
    <row r="221" spans="1:6">
      <c r="A221" s="3" t="s">
        <v>14</v>
      </c>
      <c r="B221" s="3">
        <v>2019</v>
      </c>
      <c r="C221" s="3" t="s">
        <v>20</v>
      </c>
      <c r="D221" s="3">
        <v>1759.8</v>
      </c>
      <c r="E221" s="3">
        <v>284.8</v>
      </c>
      <c r="F221" s="3">
        <v>443.9</v>
      </c>
    </row>
    <row r="222" spans="1:6">
      <c r="A222" s="3" t="s">
        <v>16</v>
      </c>
      <c r="B222" s="3">
        <v>2019</v>
      </c>
      <c r="C222" s="3" t="s">
        <v>20</v>
      </c>
      <c r="D222" s="3">
        <v>1754.4</v>
      </c>
      <c r="E222" s="3">
        <v>271.5</v>
      </c>
      <c r="F222" s="3">
        <v>412.2</v>
      </c>
    </row>
    <row r="223" spans="1:6">
      <c r="A223" s="3" t="s">
        <v>17</v>
      </c>
      <c r="B223" s="3">
        <v>2019</v>
      </c>
      <c r="C223" s="3" t="s">
        <v>20</v>
      </c>
      <c r="D223" s="3">
        <v>1757.1</v>
      </c>
      <c r="E223" s="3">
        <v>279.7</v>
      </c>
      <c r="F223" s="3">
        <v>430.6</v>
      </c>
    </row>
    <row r="224" spans="1:6">
      <c r="A224" s="3" t="s">
        <v>14</v>
      </c>
      <c r="B224" s="3">
        <v>2019</v>
      </c>
      <c r="C224" s="3" t="s">
        <v>26</v>
      </c>
      <c r="D224" s="3">
        <v>1761.2</v>
      </c>
      <c r="E224" s="3">
        <v>284.4</v>
      </c>
      <c r="F224" s="3">
        <v>445.4</v>
      </c>
    </row>
    <row r="225" spans="1:6">
      <c r="A225" s="3" t="s">
        <v>16</v>
      </c>
      <c r="B225" s="3">
        <v>2019</v>
      </c>
      <c r="C225" s="3" t="s">
        <v>26</v>
      </c>
      <c r="D225" s="3">
        <v>1768.4</v>
      </c>
      <c r="E225" s="3">
        <v>271.7</v>
      </c>
      <c r="F225" s="3">
        <v>414.6</v>
      </c>
    </row>
    <row r="226" spans="1:6">
      <c r="A226" s="3" t="s">
        <v>17</v>
      </c>
      <c r="B226" s="3">
        <v>2019</v>
      </c>
      <c r="C226" s="3" t="s">
        <v>26</v>
      </c>
      <c r="D226" s="3">
        <v>1762.9</v>
      </c>
      <c r="E226" s="3">
        <v>279.6</v>
      </c>
      <c r="F226" s="3">
        <v>432.5</v>
      </c>
    </row>
    <row r="227" spans="1:6">
      <c r="A227" s="3" t="s">
        <v>14</v>
      </c>
      <c r="B227" s="3">
        <v>2019</v>
      </c>
      <c r="C227" s="3" t="s">
        <v>15</v>
      </c>
      <c r="D227" s="3">
        <v>1782.1</v>
      </c>
      <c r="E227" s="3">
        <v>285.2</v>
      </c>
      <c r="F227" s="3">
        <v>446.5</v>
      </c>
    </row>
    <row r="228" spans="1:6">
      <c r="A228" s="3" t="s">
        <v>16</v>
      </c>
      <c r="B228" s="3">
        <v>2019</v>
      </c>
      <c r="C228" s="3" t="s">
        <v>15</v>
      </c>
      <c r="D228" s="3">
        <v>1811.5</v>
      </c>
      <c r="E228" s="3">
        <v>272.4</v>
      </c>
      <c r="F228" s="3">
        <v>416.7</v>
      </c>
    </row>
    <row r="229" spans="1:6">
      <c r="A229" s="3" t="s">
        <v>17</v>
      </c>
      <c r="B229" s="3">
        <v>2019</v>
      </c>
      <c r="C229" s="3" t="s">
        <v>15</v>
      </c>
      <c r="D229" s="3">
        <v>1791.9</v>
      </c>
      <c r="E229" s="3">
        <v>280.3</v>
      </c>
      <c r="F229" s="3">
        <v>434.1</v>
      </c>
    </row>
    <row r="230" spans="1:6">
      <c r="A230" s="3" t="s">
        <v>14</v>
      </c>
      <c r="B230" s="3">
        <v>2019</v>
      </c>
      <c r="C230" s="3" t="s">
        <v>30</v>
      </c>
      <c r="D230" s="3">
        <v>1804.2</v>
      </c>
      <c r="E230" s="3">
        <v>286.5</v>
      </c>
      <c r="F230" s="3">
        <v>446.8</v>
      </c>
    </row>
    <row r="231" spans="1:6">
      <c r="A231" s="3" t="s">
        <v>16</v>
      </c>
      <c r="B231" s="3">
        <v>2019</v>
      </c>
      <c r="C231" s="3" t="s">
        <v>30</v>
      </c>
      <c r="D231" s="3">
        <v>1833.3</v>
      </c>
      <c r="E231" s="3">
        <v>274</v>
      </c>
      <c r="F231" s="3">
        <v>417.3</v>
      </c>
    </row>
    <row r="232" spans="1:6">
      <c r="A232" s="3" t="s">
        <v>17</v>
      </c>
      <c r="B232" s="3">
        <v>2019</v>
      </c>
      <c r="C232" s="3" t="s">
        <v>30</v>
      </c>
      <c r="D232" s="3">
        <v>1814.1</v>
      </c>
      <c r="E232" s="3">
        <v>281.7</v>
      </c>
      <c r="F232" s="3">
        <v>434.4</v>
      </c>
    </row>
    <row r="233" spans="1:6">
      <c r="A233" s="3" t="s">
        <v>14</v>
      </c>
      <c r="B233" s="3">
        <v>2019</v>
      </c>
      <c r="C233" s="3" t="s">
        <v>31</v>
      </c>
      <c r="D233" s="3">
        <v>1826.9</v>
      </c>
      <c r="E233" s="3">
        <v>288.3</v>
      </c>
      <c r="F233" s="3">
        <v>447.4</v>
      </c>
    </row>
    <row r="234" spans="1:6">
      <c r="A234" s="3" t="s">
        <v>16</v>
      </c>
      <c r="B234" s="3">
        <v>2019</v>
      </c>
      <c r="C234" s="3" t="s">
        <v>31</v>
      </c>
      <c r="D234" s="3">
        <v>1857.4</v>
      </c>
      <c r="E234" s="3">
        <v>275.9</v>
      </c>
      <c r="F234" s="3">
        <v>415.3</v>
      </c>
    </row>
    <row r="235" spans="1:6">
      <c r="A235" s="3" t="s">
        <v>17</v>
      </c>
      <c r="B235" s="3">
        <v>2019</v>
      </c>
      <c r="C235" s="3" t="s">
        <v>31</v>
      </c>
      <c r="D235" s="3">
        <v>1837.5</v>
      </c>
      <c r="E235" s="3">
        <v>283.6</v>
      </c>
      <c r="F235" s="3">
        <v>434.1</v>
      </c>
    </row>
    <row r="236" spans="1:6">
      <c r="A236" s="3" t="s">
        <v>14</v>
      </c>
      <c r="B236" s="3">
        <v>2019</v>
      </c>
      <c r="C236" s="3" t="s">
        <v>32</v>
      </c>
      <c r="D236" s="3">
        <v>1834.5</v>
      </c>
      <c r="E236" s="3">
        <v>291.5</v>
      </c>
      <c r="F236" s="3">
        <v>448.2</v>
      </c>
    </row>
    <row r="237" spans="1:6">
      <c r="A237" s="3" t="s">
        <v>16</v>
      </c>
      <c r="B237" s="3">
        <v>2019</v>
      </c>
      <c r="C237" s="3" t="s">
        <v>32</v>
      </c>
      <c r="D237" s="3">
        <v>1869.1</v>
      </c>
      <c r="E237" s="3">
        <v>279.3</v>
      </c>
      <c r="F237" s="3">
        <v>415.2</v>
      </c>
    </row>
    <row r="238" spans="1:6">
      <c r="A238" s="3" t="s">
        <v>17</v>
      </c>
      <c r="B238" s="3">
        <v>2019</v>
      </c>
      <c r="C238" s="3" t="s">
        <v>32</v>
      </c>
      <c r="D238" s="3">
        <v>1846.5</v>
      </c>
      <c r="E238" s="3">
        <v>286.9</v>
      </c>
      <c r="F238" s="3">
        <v>434.6</v>
      </c>
    </row>
    <row r="239" spans="1:6">
      <c r="A239" s="3" t="s">
        <v>14</v>
      </c>
      <c r="B239" s="3">
        <v>2019</v>
      </c>
      <c r="C239" s="3" t="s">
        <v>33</v>
      </c>
      <c r="D239" s="3">
        <v>1848.7</v>
      </c>
      <c r="E239" s="3">
        <v>293.6</v>
      </c>
      <c r="F239" s="3">
        <v>449.4</v>
      </c>
    </row>
    <row r="240" spans="1:6">
      <c r="A240" s="3" t="s">
        <v>16</v>
      </c>
      <c r="B240" s="3">
        <v>2019</v>
      </c>
      <c r="C240" s="3" t="s">
        <v>33</v>
      </c>
      <c r="D240" s="3">
        <v>1874.9</v>
      </c>
      <c r="E240" s="3">
        <v>280.9</v>
      </c>
      <c r="F240" s="3">
        <v>417.1</v>
      </c>
    </row>
    <row r="241" spans="1:6">
      <c r="A241" s="3" t="s">
        <v>17</v>
      </c>
      <c r="B241" s="3">
        <v>2019</v>
      </c>
      <c r="C241" s="3" t="s">
        <v>33</v>
      </c>
      <c r="D241" s="3">
        <v>1857.7</v>
      </c>
      <c r="E241" s="3">
        <v>288.7</v>
      </c>
      <c r="F241" s="3">
        <v>436</v>
      </c>
    </row>
    <row r="242" spans="1:6">
      <c r="A242" s="3" t="s">
        <v>14</v>
      </c>
      <c r="B242" s="3">
        <v>2019</v>
      </c>
      <c r="C242" s="3" t="s">
        <v>34</v>
      </c>
      <c r="D242" s="3">
        <v>1876.9</v>
      </c>
      <c r="E242" s="3">
        <v>294</v>
      </c>
      <c r="F242" s="3">
        <v>451.3</v>
      </c>
    </row>
    <row r="243" spans="1:6">
      <c r="A243" s="3" t="s">
        <v>16</v>
      </c>
      <c r="B243" s="3">
        <v>2019</v>
      </c>
      <c r="C243" s="3" t="s">
        <v>34</v>
      </c>
      <c r="D243" s="3">
        <v>1902.6</v>
      </c>
      <c r="E243" s="3">
        <v>281.9</v>
      </c>
      <c r="F243" s="3">
        <v>420.6</v>
      </c>
    </row>
    <row r="244" spans="1:6">
      <c r="A244" s="3" t="s">
        <v>17</v>
      </c>
      <c r="B244" s="3">
        <v>2019</v>
      </c>
      <c r="C244" s="3" t="s">
        <v>34</v>
      </c>
      <c r="D244" s="3">
        <v>1885.6</v>
      </c>
      <c r="E244" s="3">
        <v>289.4</v>
      </c>
      <c r="F244" s="3">
        <v>438.6</v>
      </c>
    </row>
    <row r="245" spans="1:6">
      <c r="A245" s="3" t="s">
        <v>14</v>
      </c>
      <c r="B245" s="3">
        <v>2019</v>
      </c>
      <c r="C245" s="3" t="s">
        <v>36</v>
      </c>
      <c r="D245" s="3">
        <v>1904.6</v>
      </c>
      <c r="E245" s="3">
        <v>294.9</v>
      </c>
      <c r="F245" s="3">
        <v>452.8</v>
      </c>
    </row>
    <row r="246" spans="1:6">
      <c r="A246" s="3" t="s">
        <v>16</v>
      </c>
      <c r="B246" s="3">
        <v>2019</v>
      </c>
      <c r="C246" s="3" t="s">
        <v>36</v>
      </c>
      <c r="D246" s="3">
        <v>1924</v>
      </c>
      <c r="E246" s="3">
        <v>282.6</v>
      </c>
      <c r="F246" s="3">
        <v>424.8</v>
      </c>
    </row>
    <row r="247" spans="1:6">
      <c r="A247" s="3" t="s">
        <v>17</v>
      </c>
      <c r="B247" s="3">
        <v>2019</v>
      </c>
      <c r="C247" s="3" t="s">
        <v>36</v>
      </c>
      <c r="D247" s="3">
        <v>1910.9</v>
      </c>
      <c r="E247" s="3">
        <v>290.2</v>
      </c>
      <c r="F247" s="3">
        <v>441.1</v>
      </c>
    </row>
    <row r="248" spans="1:6">
      <c r="A248" s="3" t="s">
        <v>14</v>
      </c>
      <c r="B248" s="3">
        <v>2019</v>
      </c>
      <c r="C248" s="3" t="s">
        <v>37</v>
      </c>
      <c r="D248" s="3">
        <v>1941</v>
      </c>
      <c r="E248" s="3">
        <v>295.4</v>
      </c>
      <c r="F248" s="3">
        <v>453.9</v>
      </c>
    </row>
    <row r="249" spans="1:6">
      <c r="A249" s="3" t="s">
        <v>16</v>
      </c>
      <c r="B249" s="3">
        <v>2019</v>
      </c>
      <c r="C249" s="3" t="s">
        <v>37</v>
      </c>
      <c r="D249" s="3">
        <v>1956.7</v>
      </c>
      <c r="E249" s="3">
        <v>283.4</v>
      </c>
      <c r="F249" s="3">
        <v>426.2</v>
      </c>
    </row>
    <row r="250" spans="1:6">
      <c r="A250" s="3" t="s">
        <v>17</v>
      </c>
      <c r="B250" s="3">
        <v>2019</v>
      </c>
      <c r="C250" s="3" t="s">
        <v>37</v>
      </c>
      <c r="D250" s="3">
        <v>1946.1</v>
      </c>
      <c r="E250" s="3">
        <v>290.8</v>
      </c>
      <c r="F250" s="3">
        <v>442.3</v>
      </c>
    </row>
    <row r="251" spans="1:6">
      <c r="A251" s="3" t="s">
        <v>14</v>
      </c>
      <c r="B251" s="3">
        <v>2020</v>
      </c>
      <c r="C251" s="3" t="s">
        <v>19</v>
      </c>
      <c r="D251" s="3">
        <v>1938.6</v>
      </c>
      <c r="E251" s="3">
        <v>298.2</v>
      </c>
      <c r="F251" s="3">
        <v>456</v>
      </c>
    </row>
    <row r="252" spans="1:6">
      <c r="A252" s="3" t="s">
        <v>16</v>
      </c>
      <c r="B252" s="3">
        <v>2020</v>
      </c>
      <c r="C252" s="3" t="s">
        <v>19</v>
      </c>
      <c r="D252" s="3">
        <v>1945.4</v>
      </c>
      <c r="E252" s="3">
        <v>285.9</v>
      </c>
      <c r="F252" s="3">
        <v>429.1</v>
      </c>
    </row>
    <row r="253" spans="1:6">
      <c r="A253" s="3" t="s">
        <v>17</v>
      </c>
      <c r="B253" s="3">
        <v>2020</v>
      </c>
      <c r="C253" s="3" t="s">
        <v>19</v>
      </c>
      <c r="D253" s="3">
        <v>1940.4</v>
      </c>
      <c r="E253" s="3">
        <v>293.5</v>
      </c>
      <c r="F253" s="3">
        <v>444.7</v>
      </c>
    </row>
    <row r="254" spans="1:6">
      <c r="A254" s="3" t="s">
        <v>14</v>
      </c>
      <c r="B254" s="3">
        <v>2020</v>
      </c>
      <c r="C254" s="3" t="s">
        <v>20</v>
      </c>
      <c r="D254" s="3">
        <v>1909.8</v>
      </c>
      <c r="E254" s="3">
        <v>299.6</v>
      </c>
      <c r="F254" s="3">
        <v>458.9</v>
      </c>
    </row>
    <row r="255" spans="1:6">
      <c r="A255" s="3" t="s">
        <v>16</v>
      </c>
      <c r="B255" s="3">
        <v>2020</v>
      </c>
      <c r="C255" s="3" t="s">
        <v>20</v>
      </c>
      <c r="D255" s="3">
        <v>1916.6</v>
      </c>
      <c r="E255" s="3">
        <v>287.9</v>
      </c>
      <c r="F255" s="3">
        <v>434.1</v>
      </c>
    </row>
    <row r="256" spans="1:6">
      <c r="A256" s="3" t="s">
        <v>17</v>
      </c>
      <c r="B256" s="3">
        <v>2020</v>
      </c>
      <c r="C256" s="3" t="s">
        <v>20</v>
      </c>
      <c r="D256" s="3">
        <v>1911.6</v>
      </c>
      <c r="E256" s="3">
        <v>295.1</v>
      </c>
      <c r="F256" s="3">
        <v>448.4</v>
      </c>
    </row>
    <row r="257" spans="1:6">
      <c r="A257" s="3" t="s">
        <v>14</v>
      </c>
      <c r="B257" s="3">
        <v>2020</v>
      </c>
      <c r="C257" s="3" t="s">
        <v>26</v>
      </c>
      <c r="D257" s="3">
        <v>1894.6</v>
      </c>
      <c r="E257" s="3">
        <v>301.8</v>
      </c>
      <c r="F257" s="3">
        <v>459.4</v>
      </c>
    </row>
    <row r="258" spans="1:6">
      <c r="A258" s="3" t="s">
        <v>16</v>
      </c>
      <c r="B258" s="3">
        <v>2020</v>
      </c>
      <c r="C258" s="3" t="s">
        <v>26</v>
      </c>
      <c r="D258" s="3">
        <v>1898.5</v>
      </c>
      <c r="E258" s="3">
        <v>290.3</v>
      </c>
      <c r="F258" s="3">
        <v>436.7</v>
      </c>
    </row>
    <row r="259" spans="1:6">
      <c r="A259" s="3" t="s">
        <v>17</v>
      </c>
      <c r="B259" s="3">
        <v>2020</v>
      </c>
      <c r="C259" s="3" t="s">
        <v>26</v>
      </c>
      <c r="D259" s="3">
        <v>1895.4</v>
      </c>
      <c r="E259" s="3">
        <v>297.5</v>
      </c>
      <c r="F259" s="3">
        <v>449.8</v>
      </c>
    </row>
    <row r="260" spans="1:6">
      <c r="A260" s="77" t="s">
        <v>14</v>
      </c>
      <c r="B260" s="77">
        <v>2020</v>
      </c>
      <c r="C260" s="77" t="s">
        <v>29</v>
      </c>
      <c r="D260" s="3">
        <v>1941.5</v>
      </c>
      <c r="E260" s="3">
        <v>299.5</v>
      </c>
      <c r="F260" s="3">
        <v>450.2</v>
      </c>
    </row>
    <row r="261" spans="1:6">
      <c r="A261" s="77" t="s">
        <v>16</v>
      </c>
      <c r="B261" s="77">
        <v>2020</v>
      </c>
      <c r="C261" s="77" t="s">
        <v>29</v>
      </c>
      <c r="D261" s="3">
        <v>1963.3</v>
      </c>
      <c r="E261" s="3">
        <v>290</v>
      </c>
      <c r="F261" s="3">
        <v>437.2</v>
      </c>
    </row>
    <row r="262" spans="1:6">
      <c r="A262" s="77" t="s">
        <v>17</v>
      </c>
      <c r="B262" s="77">
        <v>2020</v>
      </c>
      <c r="C262" s="77" t="s">
        <v>29</v>
      </c>
      <c r="D262" s="3">
        <v>1949.3</v>
      </c>
      <c r="E262" s="3">
        <v>295.9</v>
      </c>
      <c r="F262" s="3">
        <v>445.4</v>
      </c>
    </row>
    <row r="263" spans="1:6">
      <c r="A263" s="3" t="s">
        <v>14</v>
      </c>
      <c r="B263" s="3">
        <v>2020</v>
      </c>
      <c r="C263" s="3" t="s">
        <v>30</v>
      </c>
      <c r="D263" s="3">
        <v>1951</v>
      </c>
      <c r="E263" s="3">
        <v>309.4</v>
      </c>
      <c r="F263" s="3">
        <v>451.3</v>
      </c>
    </row>
    <row r="264" spans="1:6">
      <c r="A264" s="3" t="s">
        <v>16</v>
      </c>
      <c r="B264" s="3">
        <v>2020</v>
      </c>
      <c r="C264" s="3" t="s">
        <v>30</v>
      </c>
      <c r="D264" s="3">
        <v>1995</v>
      </c>
      <c r="E264" s="3">
        <v>300.3</v>
      </c>
      <c r="F264" s="3">
        <v>432.2</v>
      </c>
    </row>
    <row r="265" spans="1:6">
      <c r="A265" s="3" t="s">
        <v>17</v>
      </c>
      <c r="B265" s="3">
        <v>2020</v>
      </c>
      <c r="C265" s="3" t="s">
        <v>30</v>
      </c>
      <c r="D265" s="3">
        <v>1966.8</v>
      </c>
      <c r="E265" s="3">
        <v>306</v>
      </c>
      <c r="F265" s="3">
        <v>443</v>
      </c>
    </row>
    <row r="266" spans="1:6">
      <c r="A266" s="3" t="s">
        <v>14</v>
      </c>
      <c r="B266" s="3">
        <v>2020</v>
      </c>
      <c r="C266" s="3" t="s">
        <v>31</v>
      </c>
      <c r="D266" s="3">
        <v>1951</v>
      </c>
      <c r="E266" s="3">
        <v>309.4</v>
      </c>
      <c r="F266" s="3">
        <v>451.3</v>
      </c>
    </row>
    <row r="267" spans="1:6">
      <c r="A267" s="3" t="s">
        <v>16</v>
      </c>
      <c r="B267" s="3">
        <v>2020</v>
      </c>
      <c r="C267" s="3" t="s">
        <v>31</v>
      </c>
      <c r="D267" s="3">
        <v>1995</v>
      </c>
      <c r="E267" s="3">
        <v>300.3</v>
      </c>
      <c r="F267" s="3">
        <v>432.2</v>
      </c>
    </row>
    <row r="268" spans="1:6">
      <c r="A268" s="3" t="s">
        <v>17</v>
      </c>
      <c r="B268" s="3">
        <v>2020</v>
      </c>
      <c r="C268" s="3" t="s">
        <v>31</v>
      </c>
      <c r="D268" s="3">
        <v>1966.8</v>
      </c>
      <c r="E268" s="3">
        <v>306</v>
      </c>
      <c r="F268" s="3">
        <v>443</v>
      </c>
    </row>
    <row r="269" spans="1:6">
      <c r="A269" s="3" t="s">
        <v>14</v>
      </c>
      <c r="B269" s="3">
        <v>2020</v>
      </c>
      <c r="C269" s="3" t="s">
        <v>32</v>
      </c>
      <c r="D269" s="3">
        <v>1978.6</v>
      </c>
      <c r="E269" s="3">
        <v>312.4</v>
      </c>
      <c r="F269" s="3">
        <v>453.2</v>
      </c>
    </row>
    <row r="270" spans="1:6">
      <c r="A270" s="3" t="s">
        <v>16</v>
      </c>
      <c r="B270" s="3">
        <v>2020</v>
      </c>
      <c r="C270" s="3" t="s">
        <v>32</v>
      </c>
      <c r="D270" s="3">
        <v>2024.9</v>
      </c>
      <c r="E270" s="3">
        <v>303.9</v>
      </c>
      <c r="F270" s="3">
        <v>438.3</v>
      </c>
    </row>
    <row r="271" spans="1:6">
      <c r="A271" s="3" t="s">
        <v>17</v>
      </c>
      <c r="B271" s="3">
        <v>2020</v>
      </c>
      <c r="C271" s="3" t="s">
        <v>32</v>
      </c>
      <c r="D271" s="3">
        <v>1995.2</v>
      </c>
      <c r="E271" s="3">
        <v>309.3</v>
      </c>
      <c r="F271" s="3">
        <v>446.9</v>
      </c>
    </row>
    <row r="272" spans="1:6">
      <c r="A272" s="3" t="s">
        <v>14</v>
      </c>
      <c r="B272" s="3">
        <v>2020</v>
      </c>
      <c r="C272" s="3" t="s">
        <v>33</v>
      </c>
      <c r="D272" s="3">
        <v>1987.4</v>
      </c>
      <c r="E272" s="3">
        <v>316.5</v>
      </c>
      <c r="F272" s="3">
        <v>454.3</v>
      </c>
    </row>
    <row r="273" spans="1:6">
      <c r="A273" s="3" t="s">
        <v>16</v>
      </c>
      <c r="B273" s="3">
        <v>2020</v>
      </c>
      <c r="C273" s="3" t="s">
        <v>33</v>
      </c>
      <c r="D273" s="3">
        <v>2041.6</v>
      </c>
      <c r="E273" s="3">
        <v>309.8</v>
      </c>
      <c r="F273" s="3">
        <v>438.9</v>
      </c>
    </row>
    <row r="274" spans="1:6">
      <c r="A274" s="3" t="s">
        <v>17</v>
      </c>
      <c r="B274" s="3">
        <v>2020</v>
      </c>
      <c r="C274" s="3" t="s">
        <v>33</v>
      </c>
      <c r="D274" s="3">
        <v>2007</v>
      </c>
      <c r="E274" s="3">
        <v>314</v>
      </c>
      <c r="F274" s="3">
        <v>447.9</v>
      </c>
    </row>
    <row r="275" spans="1:6">
      <c r="A275" s="3" t="s">
        <v>14</v>
      </c>
      <c r="B275" s="3">
        <v>2020</v>
      </c>
      <c r="C275" s="3" t="s">
        <v>34</v>
      </c>
      <c r="D275" s="3">
        <v>2030.9</v>
      </c>
      <c r="E275" s="3">
        <v>315.7</v>
      </c>
      <c r="F275" s="3">
        <v>455.3</v>
      </c>
    </row>
    <row r="276" spans="1:6">
      <c r="A276" s="3" t="s">
        <v>16</v>
      </c>
      <c r="B276" s="3">
        <v>2020</v>
      </c>
      <c r="C276" s="3" t="s">
        <v>34</v>
      </c>
      <c r="D276" s="3">
        <v>2080.2</v>
      </c>
      <c r="E276" s="3">
        <v>309.1</v>
      </c>
      <c r="F276" s="3">
        <v>438.7</v>
      </c>
    </row>
    <row r="277" spans="1:6">
      <c r="A277" s="3" t="s">
        <v>17</v>
      </c>
      <c r="B277" s="3">
        <v>2020</v>
      </c>
      <c r="C277" s="3" t="s">
        <v>34</v>
      </c>
      <c r="D277" s="3">
        <v>2048.6</v>
      </c>
      <c r="E277" s="3">
        <v>313.3</v>
      </c>
      <c r="F277" s="3">
        <v>448.3</v>
      </c>
    </row>
    <row r="278" spans="1:6">
      <c r="A278" s="3" t="s">
        <v>14</v>
      </c>
      <c r="B278" s="3">
        <v>2020</v>
      </c>
      <c r="C278" s="3" t="s">
        <v>36</v>
      </c>
      <c r="D278" s="3">
        <v>2082.4</v>
      </c>
      <c r="E278" s="3">
        <v>316.6</v>
      </c>
      <c r="F278" s="3">
        <v>458.3</v>
      </c>
    </row>
    <row r="279" spans="1:6">
      <c r="A279" s="3" t="s">
        <v>16</v>
      </c>
      <c r="B279" s="3">
        <v>2020</v>
      </c>
      <c r="C279" s="3" t="s">
        <v>36</v>
      </c>
      <c r="D279" s="3">
        <v>2120.7</v>
      </c>
      <c r="E279" s="3">
        <v>309.9</v>
      </c>
      <c r="F279" s="3">
        <v>440.4</v>
      </c>
    </row>
    <row r="280" spans="1:6">
      <c r="A280" s="3" t="s">
        <v>17</v>
      </c>
      <c r="B280" s="3">
        <v>2020</v>
      </c>
      <c r="C280" s="3" t="s">
        <v>36</v>
      </c>
      <c r="D280" s="3">
        <v>2095.6</v>
      </c>
      <c r="E280" s="3">
        <v>314.1</v>
      </c>
      <c r="F280" s="3">
        <v>450.8</v>
      </c>
    </row>
    <row r="281" spans="1:6">
      <c r="A281" s="3" t="s">
        <v>14</v>
      </c>
      <c r="B281" s="3">
        <v>2020</v>
      </c>
      <c r="C281" s="3" t="s">
        <v>37</v>
      </c>
      <c r="D281" s="3">
        <v>2100.5</v>
      </c>
      <c r="E281" s="3">
        <v>318.2</v>
      </c>
      <c r="F281" s="3">
        <v>460.5</v>
      </c>
    </row>
    <row r="282" spans="1:6">
      <c r="A282" s="3" t="s">
        <v>16</v>
      </c>
      <c r="B282" s="3">
        <v>2020</v>
      </c>
      <c r="C282" s="3" t="s">
        <v>37</v>
      </c>
      <c r="D282" s="3">
        <v>2125.4</v>
      </c>
      <c r="E282" s="3">
        <v>310.8</v>
      </c>
      <c r="F282" s="3">
        <v>441.8</v>
      </c>
    </row>
    <row r="283" spans="1:6">
      <c r="A283" s="3" t="s">
        <v>17</v>
      </c>
      <c r="B283" s="3">
        <v>2020</v>
      </c>
      <c r="C283" s="3" t="s">
        <v>37</v>
      </c>
      <c r="D283" s="3">
        <v>2109.1</v>
      </c>
      <c r="E283" s="3">
        <v>315.4</v>
      </c>
      <c r="F283" s="3">
        <v>452.7</v>
      </c>
    </row>
    <row r="284" spans="1:6">
      <c r="A284" s="3" t="s">
        <v>14</v>
      </c>
      <c r="B284" s="3">
        <v>2021</v>
      </c>
      <c r="C284" s="3" t="s">
        <v>19</v>
      </c>
      <c r="D284" s="3">
        <v>2065.7</v>
      </c>
      <c r="E284" s="3">
        <v>318.7</v>
      </c>
      <c r="F284" s="3">
        <v>462.5</v>
      </c>
    </row>
    <row r="285" spans="1:6">
      <c r="A285" s="3" t="s">
        <v>16</v>
      </c>
      <c r="B285" s="3">
        <v>2021</v>
      </c>
      <c r="C285" s="3" t="s">
        <v>19</v>
      </c>
      <c r="D285" s="3">
        <v>2097</v>
      </c>
      <c r="E285" s="3">
        <v>311.8</v>
      </c>
      <c r="F285" s="3">
        <v>446.3</v>
      </c>
    </row>
    <row r="286" spans="1:6">
      <c r="A286" s="3" t="s">
        <v>17</v>
      </c>
      <c r="B286" s="3">
        <v>2021</v>
      </c>
      <c r="C286" s="3" t="s">
        <v>19</v>
      </c>
      <c r="D286" s="3">
        <v>2076.5</v>
      </c>
      <c r="E286" s="3">
        <v>316.1</v>
      </c>
      <c r="F286" s="3">
        <v>455.6</v>
      </c>
    </row>
    <row r="287" spans="1:6">
      <c r="A287" s="3" t="s">
        <v>14</v>
      </c>
      <c r="B287" s="3">
        <v>2021</v>
      </c>
      <c r="C287" s="3" t="s">
        <v>20</v>
      </c>
      <c r="D287" s="3">
        <v>2025.3</v>
      </c>
      <c r="E287" s="3">
        <v>319.5</v>
      </c>
      <c r="F287" s="3">
        <v>469</v>
      </c>
    </row>
    <row r="288" spans="1:6">
      <c r="A288" s="3" t="s">
        <v>16</v>
      </c>
      <c r="B288" s="3">
        <v>2021</v>
      </c>
      <c r="C288" s="3" t="s">
        <v>20</v>
      </c>
      <c r="D288" s="3">
        <v>2066</v>
      </c>
      <c r="E288" s="3">
        <v>313</v>
      </c>
      <c r="F288" s="3">
        <v>455.4</v>
      </c>
    </row>
    <row r="289" spans="1:6">
      <c r="A289" s="3" t="s">
        <v>17</v>
      </c>
      <c r="B289" s="3">
        <v>2021</v>
      </c>
      <c r="C289" s="3" t="s">
        <v>20</v>
      </c>
      <c r="D289" s="3">
        <v>2039.3</v>
      </c>
      <c r="E289" s="3">
        <v>317.1</v>
      </c>
      <c r="F289" s="3">
        <v>463.1</v>
      </c>
    </row>
    <row r="290" spans="1:6">
      <c r="A290" s="3" t="s">
        <v>14</v>
      </c>
      <c r="B290" s="3">
        <v>2021</v>
      </c>
      <c r="C290" s="3" t="s">
        <v>26</v>
      </c>
      <c r="D290" s="3">
        <v>2025.7</v>
      </c>
      <c r="E290" s="3">
        <v>317.7</v>
      </c>
      <c r="F290" s="3">
        <v>470.7</v>
      </c>
    </row>
    <row r="291" spans="1:6">
      <c r="A291" s="3" t="s">
        <v>16</v>
      </c>
      <c r="B291" s="3">
        <v>2021</v>
      </c>
      <c r="C291" s="3" t="s">
        <v>26</v>
      </c>
      <c r="D291" s="3">
        <v>2064.5</v>
      </c>
      <c r="E291" s="3">
        <v>311.8</v>
      </c>
      <c r="F291" s="3">
        <v>461.9</v>
      </c>
    </row>
    <row r="292" spans="1:6">
      <c r="A292" s="3" t="s">
        <v>17</v>
      </c>
      <c r="B292" s="3">
        <v>2021</v>
      </c>
      <c r="C292" s="3" t="s">
        <v>26</v>
      </c>
      <c r="D292" s="3">
        <v>2039.4</v>
      </c>
      <c r="E292" s="3">
        <v>315.5</v>
      </c>
      <c r="F292" s="3">
        <v>466.6</v>
      </c>
    </row>
    <row r="293" spans="1:6">
      <c r="A293" s="3" t="s">
        <v>14</v>
      </c>
      <c r="B293" s="3">
        <v>2021</v>
      </c>
      <c r="C293" s="3" t="s">
        <v>29</v>
      </c>
      <c r="D293" s="3">
        <v>2049.5</v>
      </c>
      <c r="E293" s="3">
        <v>319.9</v>
      </c>
      <c r="F293" s="3">
        <v>472.9</v>
      </c>
    </row>
    <row r="294" spans="1:6">
      <c r="A294" s="3" t="s">
        <v>16</v>
      </c>
      <c r="B294" s="3">
        <v>2021</v>
      </c>
      <c r="C294" s="3" t="s">
        <v>29</v>
      </c>
      <c r="D294" s="3">
        <v>2089.6</v>
      </c>
      <c r="E294" s="3">
        <v>314.1</v>
      </c>
      <c r="F294" s="3">
        <v>463.9</v>
      </c>
    </row>
    <row r="295" spans="1:6">
      <c r="A295" s="3" t="s">
        <v>17</v>
      </c>
      <c r="B295" s="3">
        <v>2021</v>
      </c>
      <c r="C295" s="3" t="s">
        <v>29</v>
      </c>
      <c r="D295" s="3">
        <v>2064.1</v>
      </c>
      <c r="E295" s="3">
        <v>317.7</v>
      </c>
      <c r="F295" s="3">
        <v>468.8</v>
      </c>
    </row>
    <row r="296" spans="1:6">
      <c r="A296" s="3" t="s">
        <v>14</v>
      </c>
      <c r="B296" s="3">
        <v>2021</v>
      </c>
      <c r="C296" s="3" t="s">
        <v>15</v>
      </c>
      <c r="D296" s="3">
        <v>2095.3</v>
      </c>
      <c r="E296" s="3">
        <v>328.4</v>
      </c>
      <c r="F296" s="3">
        <v>482.1</v>
      </c>
    </row>
    <row r="297" spans="1:6">
      <c r="A297" s="3" t="s">
        <v>16</v>
      </c>
      <c r="B297" s="3">
        <v>2021</v>
      </c>
      <c r="C297" s="3" t="s">
        <v>15</v>
      </c>
      <c r="D297" s="3">
        <v>2124.7</v>
      </c>
      <c r="E297" s="3">
        <v>317.9</v>
      </c>
      <c r="F297" s="3">
        <v>467.2</v>
      </c>
    </row>
    <row r="298" spans="1:6">
      <c r="A298" s="3" t="s">
        <v>17</v>
      </c>
      <c r="B298" s="3">
        <v>2021</v>
      </c>
      <c r="C298" s="3" t="s">
        <v>15</v>
      </c>
      <c r="D298" s="3">
        <v>2105.7</v>
      </c>
      <c r="E298" s="3">
        <v>324.4</v>
      </c>
      <c r="F298" s="3">
        <v>475.7</v>
      </c>
    </row>
    <row r="299" spans="1:6">
      <c r="A299" s="3" t="s">
        <v>14</v>
      </c>
      <c r="B299" s="3">
        <v>2021</v>
      </c>
      <c r="C299" s="3" t="s">
        <v>30</v>
      </c>
      <c r="D299" s="3">
        <v>2122.6</v>
      </c>
      <c r="E299" s="3">
        <v>329.1</v>
      </c>
      <c r="F299" s="3">
        <v>481.8</v>
      </c>
    </row>
    <row r="300" spans="1:6">
      <c r="A300" s="3" t="s">
        <v>16</v>
      </c>
      <c r="B300" s="3">
        <v>2021</v>
      </c>
      <c r="C300" s="3" t="s">
        <v>30</v>
      </c>
      <c r="D300" s="3">
        <v>2154.2</v>
      </c>
      <c r="E300" s="3">
        <v>318.8</v>
      </c>
      <c r="F300" s="3">
        <v>466.4</v>
      </c>
    </row>
    <row r="301" spans="1:6">
      <c r="A301" s="3" t="s">
        <v>17</v>
      </c>
      <c r="B301" s="3">
        <v>2021</v>
      </c>
      <c r="C301" s="3" t="s">
        <v>30</v>
      </c>
      <c r="D301" s="3">
        <v>2133.9</v>
      </c>
      <c r="E301" s="3">
        <v>325.1</v>
      </c>
      <c r="F301" s="3">
        <v>475.1</v>
      </c>
    </row>
    <row r="302" spans="1:6">
      <c r="A302" s="3" t="s">
        <v>14</v>
      </c>
      <c r="B302" s="3">
        <v>2021</v>
      </c>
      <c r="C302" s="3" t="s">
        <v>31</v>
      </c>
      <c r="D302" s="3">
        <v>2132.4</v>
      </c>
      <c r="E302" s="3">
        <v>330.8</v>
      </c>
      <c r="F302" s="3">
        <v>484.3</v>
      </c>
    </row>
    <row r="303" spans="1:6">
      <c r="A303" s="3" t="s">
        <v>16</v>
      </c>
      <c r="B303" s="3">
        <v>2021</v>
      </c>
      <c r="C303" s="3" t="s">
        <v>31</v>
      </c>
      <c r="D303" s="3">
        <v>2171.8</v>
      </c>
      <c r="E303" s="3">
        <v>321.1</v>
      </c>
      <c r="F303" s="3">
        <v>469.9</v>
      </c>
    </row>
    <row r="304" spans="1:6">
      <c r="A304" s="3" t="s">
        <v>17</v>
      </c>
      <c r="B304" s="3">
        <v>2021</v>
      </c>
      <c r="C304" s="3" t="s">
        <v>31</v>
      </c>
      <c r="D304" s="3">
        <v>2147</v>
      </c>
      <c r="E304" s="3">
        <v>327.1</v>
      </c>
      <c r="F304" s="3">
        <v>478</v>
      </c>
    </row>
    <row r="305" spans="1:6">
      <c r="A305" s="3" t="s">
        <v>14</v>
      </c>
      <c r="B305" s="3">
        <v>2021</v>
      </c>
      <c r="C305" s="3" t="s">
        <v>32</v>
      </c>
      <c r="D305" s="3">
        <v>2130.8</v>
      </c>
      <c r="E305" s="3">
        <v>331.4</v>
      </c>
      <c r="F305" s="3">
        <v>486.1</v>
      </c>
    </row>
    <row r="306" spans="1:6">
      <c r="A306" s="3" t="s">
        <v>16</v>
      </c>
      <c r="B306" s="3">
        <v>2021</v>
      </c>
      <c r="C306" s="3" t="s">
        <v>32</v>
      </c>
      <c r="D306" s="3">
        <v>2157.9</v>
      </c>
      <c r="E306" s="3">
        <v>322.4</v>
      </c>
      <c r="F306" s="3">
        <v>476</v>
      </c>
    </row>
    <row r="307" spans="1:6">
      <c r="A307" s="3" t="s">
        <v>17</v>
      </c>
      <c r="B307" s="3">
        <v>2021</v>
      </c>
      <c r="C307" s="3" t="s">
        <v>32</v>
      </c>
      <c r="D307" s="3">
        <v>2142</v>
      </c>
      <c r="E307" s="3">
        <v>328.4</v>
      </c>
      <c r="F307" s="3">
        <v>482.2</v>
      </c>
    </row>
    <row r="308" spans="1:6">
      <c r="A308" s="3" t="s">
        <v>14</v>
      </c>
      <c r="B308" s="3">
        <v>2021</v>
      </c>
      <c r="C308" s="3" t="s">
        <v>33</v>
      </c>
      <c r="D308" s="3">
        <v>2133.6</v>
      </c>
      <c r="E308" s="3">
        <v>332.1</v>
      </c>
      <c r="F308" s="3">
        <v>487.1</v>
      </c>
    </row>
    <row r="309" spans="1:6">
      <c r="A309" s="3" t="s">
        <v>16</v>
      </c>
      <c r="B309" s="3">
        <v>2021</v>
      </c>
      <c r="C309" s="3" t="s">
        <v>33</v>
      </c>
      <c r="D309" s="3">
        <v>2157.9</v>
      </c>
      <c r="E309" s="3">
        <v>322.4</v>
      </c>
      <c r="F309" s="3">
        <v>476.2</v>
      </c>
    </row>
    <row r="310" spans="1:6">
      <c r="A310" s="3" t="s">
        <v>17</v>
      </c>
      <c r="B310" s="3">
        <v>2021</v>
      </c>
      <c r="C310" s="3" t="s">
        <v>33</v>
      </c>
      <c r="D310" s="3">
        <v>2142</v>
      </c>
      <c r="E310" s="3">
        <v>328.4</v>
      </c>
      <c r="F310" s="3">
        <v>482.2</v>
      </c>
    </row>
    <row r="311" spans="1:6">
      <c r="A311" s="3" t="s">
        <v>14</v>
      </c>
      <c r="B311" s="3">
        <v>2021</v>
      </c>
      <c r="C311" s="3" t="s">
        <v>34</v>
      </c>
      <c r="D311" s="3">
        <v>2164.2</v>
      </c>
      <c r="E311" s="3">
        <v>333.6</v>
      </c>
      <c r="F311" s="3">
        <v>491.1</v>
      </c>
    </row>
    <row r="312" spans="1:6">
      <c r="A312" s="3" t="s">
        <v>16</v>
      </c>
      <c r="B312" s="3">
        <v>2021</v>
      </c>
      <c r="C312" s="3" t="s">
        <v>34</v>
      </c>
      <c r="D312" s="3">
        <v>2198.4</v>
      </c>
      <c r="E312" s="3">
        <v>323.8</v>
      </c>
      <c r="F312" s="3">
        <v>480.1</v>
      </c>
    </row>
    <row r="313" spans="1:6">
      <c r="A313" s="3" t="s">
        <v>17</v>
      </c>
      <c r="B313" s="3">
        <v>2021</v>
      </c>
      <c r="C313" s="3" t="s">
        <v>34</v>
      </c>
      <c r="D313" s="3">
        <v>2175.5</v>
      </c>
      <c r="E313" s="3">
        <v>329.9</v>
      </c>
      <c r="F313" s="3">
        <v>486.2</v>
      </c>
    </row>
    <row r="314" spans="1:6">
      <c r="A314" s="3" t="s">
        <v>14</v>
      </c>
      <c r="B314" s="3">
        <v>2021</v>
      </c>
      <c r="C314" s="3" t="s">
        <v>36</v>
      </c>
      <c r="D314" s="3">
        <v>2182</v>
      </c>
      <c r="E314" s="3">
        <v>335.8</v>
      </c>
      <c r="F314" s="3">
        <v>492.4</v>
      </c>
    </row>
    <row r="315" spans="1:6">
      <c r="A315" s="3" t="s">
        <v>16</v>
      </c>
      <c r="B315" s="3">
        <v>2021</v>
      </c>
      <c r="C315" s="3" t="s">
        <v>36</v>
      </c>
      <c r="D315" s="3">
        <v>2217.9</v>
      </c>
      <c r="E315" s="3">
        <v>326</v>
      </c>
      <c r="F315" s="3">
        <v>481</v>
      </c>
    </row>
    <row r="316" spans="1:6">
      <c r="A316" s="3" t="s">
        <v>17</v>
      </c>
      <c r="B316" s="3">
        <v>2021</v>
      </c>
      <c r="C316" s="3" t="s">
        <v>36</v>
      </c>
      <c r="D316" s="3">
        <v>2194.1</v>
      </c>
      <c r="E316" s="3">
        <v>332.1</v>
      </c>
      <c r="F316" s="3">
        <v>487.4</v>
      </c>
    </row>
    <row r="317" spans="1:6">
      <c r="A317" s="3" t="s">
        <v>14</v>
      </c>
      <c r="B317" s="3">
        <v>2021</v>
      </c>
      <c r="C317" s="3" t="s">
        <v>37</v>
      </c>
      <c r="D317" s="3">
        <v>2168.2</v>
      </c>
      <c r="E317" s="3">
        <v>336.8</v>
      </c>
      <c r="F317" s="3">
        <v>492.9</v>
      </c>
    </row>
    <row r="318" spans="1:6">
      <c r="A318" s="3" t="s">
        <v>16</v>
      </c>
      <c r="B318" s="3">
        <v>2021</v>
      </c>
      <c r="C318" s="3" t="s">
        <v>37</v>
      </c>
      <c r="D318" s="3">
        <v>2206.3</v>
      </c>
      <c r="E318" s="3">
        <v>327.5</v>
      </c>
      <c r="F318" s="3">
        <v>481.1</v>
      </c>
    </row>
    <row r="319" spans="1:6">
      <c r="A319" s="3" t="s">
        <v>17</v>
      </c>
      <c r="B319" s="3">
        <v>2021</v>
      </c>
      <c r="C319" s="3" t="s">
        <v>37</v>
      </c>
      <c r="D319" s="3">
        <v>2180.9</v>
      </c>
      <c r="E319" s="3">
        <v>333.2</v>
      </c>
      <c r="F319" s="3">
        <v>487.7</v>
      </c>
    </row>
    <row r="320" spans="1:6">
      <c r="A320" s="3" t="s">
        <v>14</v>
      </c>
      <c r="B320" s="3">
        <v>2022</v>
      </c>
      <c r="C320" s="3" t="s">
        <v>19</v>
      </c>
      <c r="D320" s="3">
        <v>2153</v>
      </c>
      <c r="E320" s="3">
        <v>337.9</v>
      </c>
      <c r="F320" s="3">
        <v>495.2</v>
      </c>
    </row>
    <row r="321" spans="1:6">
      <c r="A321" s="3" t="s">
        <v>16</v>
      </c>
      <c r="B321" s="3">
        <v>2022</v>
      </c>
      <c r="C321" s="3" t="s">
        <v>19</v>
      </c>
      <c r="D321" s="3">
        <v>2186.7</v>
      </c>
      <c r="E321" s="3">
        <v>328.9</v>
      </c>
      <c r="F321" s="3">
        <v>482.9</v>
      </c>
    </row>
    <row r="322" spans="1:6">
      <c r="A322" s="3" t="s">
        <v>17</v>
      </c>
      <c r="B322" s="3">
        <v>2022</v>
      </c>
      <c r="C322" s="3" t="s">
        <v>19</v>
      </c>
      <c r="D322" s="3">
        <v>2164.2</v>
      </c>
      <c r="E322" s="3">
        <v>334.4</v>
      </c>
      <c r="F322" s="3">
        <v>489.8</v>
      </c>
    </row>
    <row r="323" spans="1:6">
      <c r="A323" s="3" t="s">
        <v>14</v>
      </c>
      <c r="B323" s="3">
        <v>2022</v>
      </c>
      <c r="C323" s="3" t="s">
        <v>20</v>
      </c>
      <c r="D323" s="3">
        <v>2150.4</v>
      </c>
      <c r="E323" s="3">
        <v>339.8</v>
      </c>
      <c r="F323" s="3">
        <v>498.6</v>
      </c>
    </row>
    <row r="324" spans="1:6">
      <c r="A324" s="3" t="s">
        <v>16</v>
      </c>
      <c r="B324" s="3">
        <v>2022</v>
      </c>
      <c r="C324" s="3" t="s">
        <v>20</v>
      </c>
      <c r="D324" s="3">
        <v>2183.5</v>
      </c>
      <c r="E324" s="3">
        <v>331.4</v>
      </c>
      <c r="F324" s="3">
        <v>485.9</v>
      </c>
    </row>
    <row r="325" spans="1:6">
      <c r="A325" s="3" t="s">
        <v>17</v>
      </c>
      <c r="B325" s="3">
        <v>2022</v>
      </c>
      <c r="C325" s="3" t="s">
        <v>20</v>
      </c>
      <c r="D325" s="3">
        <v>2161.2</v>
      </c>
      <c r="E325" s="3">
        <v>336.6</v>
      </c>
      <c r="F325" s="3">
        <v>493</v>
      </c>
    </row>
    <row r="326" spans="1:6">
      <c r="A326" s="3" t="s">
        <v>14</v>
      </c>
      <c r="B326" s="3">
        <v>2022</v>
      </c>
      <c r="C326" s="3" t="s">
        <v>26</v>
      </c>
      <c r="D326" s="3">
        <v>2179.1</v>
      </c>
      <c r="E326" s="3">
        <v>343.4</v>
      </c>
      <c r="F326" s="3">
        <v>500.7</v>
      </c>
    </row>
    <row r="327" spans="1:6">
      <c r="A327" s="3" t="s">
        <v>16</v>
      </c>
      <c r="B327" s="3">
        <v>2022</v>
      </c>
      <c r="C327" s="3" t="s">
        <v>26</v>
      </c>
      <c r="D327" s="3">
        <v>2196.3</v>
      </c>
      <c r="E327" s="3">
        <v>335</v>
      </c>
      <c r="F327" s="3">
        <v>488.4</v>
      </c>
    </row>
    <row r="328" spans="1:6">
      <c r="A328" s="3" t="s">
        <v>17</v>
      </c>
      <c r="B328" s="3">
        <v>2022</v>
      </c>
      <c r="C328" s="3" t="s">
        <v>26</v>
      </c>
      <c r="D328" s="3">
        <v>2184.2</v>
      </c>
      <c r="E328" s="3">
        <v>340.2</v>
      </c>
      <c r="F328" s="3">
        <v>495.3</v>
      </c>
    </row>
    <row r="329" spans="1:6">
      <c r="A329" s="3" t="s">
        <v>14</v>
      </c>
      <c r="B329" s="3">
        <v>2022</v>
      </c>
      <c r="C329" s="3" t="s">
        <v>29</v>
      </c>
      <c r="D329" s="3">
        <v>2206.6</v>
      </c>
      <c r="E329" s="3">
        <v>346</v>
      </c>
      <c r="F329" s="3">
        <v>508</v>
      </c>
    </row>
    <row r="330" spans="1:6">
      <c r="A330" s="3" t="s">
        <v>16</v>
      </c>
      <c r="B330" s="3">
        <v>2022</v>
      </c>
      <c r="C330" s="3" t="s">
        <v>29</v>
      </c>
      <c r="D330" s="3">
        <v>2230.4</v>
      </c>
      <c r="E330" s="3">
        <v>337.4</v>
      </c>
      <c r="F330" s="3">
        <v>497.3</v>
      </c>
    </row>
    <row r="331" spans="1:6">
      <c r="A331" s="3" t="s">
        <v>17</v>
      </c>
      <c r="B331" s="3">
        <v>2022</v>
      </c>
      <c r="C331" s="3" t="s">
        <v>29</v>
      </c>
      <c r="D331" s="3">
        <v>2214.3</v>
      </c>
      <c r="E331" s="3">
        <v>342.8</v>
      </c>
      <c r="F331" s="3">
        <v>503.2</v>
      </c>
    </row>
    <row r="332" spans="1:6">
      <c r="A332" s="3" t="s">
        <v>14</v>
      </c>
      <c r="B332" s="3">
        <v>2022</v>
      </c>
      <c r="C332" s="3" t="s">
        <v>15</v>
      </c>
      <c r="D332" s="3">
        <v>2226.8</v>
      </c>
      <c r="E332" s="3">
        <v>346.2</v>
      </c>
      <c r="F332" s="3">
        <v>511.7</v>
      </c>
    </row>
    <row r="333" spans="1:6">
      <c r="A333" s="3" t="s">
        <v>16</v>
      </c>
      <c r="B333" s="3">
        <v>2022</v>
      </c>
      <c r="C333" s="3" t="s">
        <v>15</v>
      </c>
      <c r="D333" s="3">
        <v>2262.2</v>
      </c>
      <c r="E333" s="3">
        <v>338.3</v>
      </c>
      <c r="F333" s="3">
        <v>502.1</v>
      </c>
    </row>
    <row r="334" spans="1:6">
      <c r="A334" s="3" t="s">
        <v>17</v>
      </c>
      <c r="B334" s="3">
        <v>2022</v>
      </c>
      <c r="C334" s="3" t="s">
        <v>15</v>
      </c>
      <c r="D334" s="3">
        <v>2238.9</v>
      </c>
      <c r="E334" s="3">
        <v>343.2</v>
      </c>
      <c r="F334" s="3">
        <v>507.3</v>
      </c>
    </row>
    <row r="335" spans="1:6">
      <c r="A335" s="3" t="s">
        <v>14</v>
      </c>
      <c r="B335" s="3">
        <v>2022</v>
      </c>
      <c r="C335" s="3" t="s">
        <v>30</v>
      </c>
      <c r="D335" s="3">
        <v>2248.3</v>
      </c>
      <c r="E335" s="3">
        <v>347.7</v>
      </c>
      <c r="F335" s="3">
        <v>513.8</v>
      </c>
    </row>
    <row r="336" spans="1:6">
      <c r="A336" s="3" t="s">
        <v>16</v>
      </c>
      <c r="B336" s="3">
        <v>2022</v>
      </c>
      <c r="C336" s="3" t="s">
        <v>30</v>
      </c>
      <c r="D336" s="3">
        <v>2287.5</v>
      </c>
      <c r="E336" s="3">
        <v>340.1</v>
      </c>
      <c r="F336" s="3">
        <v>503.8</v>
      </c>
    </row>
    <row r="337" spans="1:6">
      <c r="A337" s="3" t="s">
        <v>17</v>
      </c>
      <c r="B337" s="3">
        <v>2022</v>
      </c>
      <c r="C337" s="3" t="s">
        <v>30</v>
      </c>
      <c r="D337" s="3">
        <v>2261.9</v>
      </c>
      <c r="E337" s="3">
        <v>344.8</v>
      </c>
      <c r="F337" s="3">
        <v>509.2</v>
      </c>
    </row>
    <row r="338" spans="1:6">
      <c r="A338" s="3" t="s">
        <v>14</v>
      </c>
      <c r="B338" s="3">
        <v>2022</v>
      </c>
      <c r="C338" s="3" t="s">
        <v>31</v>
      </c>
      <c r="D338" s="3">
        <v>2252.5</v>
      </c>
      <c r="E338" s="3">
        <v>348.5</v>
      </c>
      <c r="F338" s="3">
        <v>518.7</v>
      </c>
    </row>
    <row r="339" spans="1:6">
      <c r="A339" s="3" t="s">
        <v>16</v>
      </c>
      <c r="B339" s="3">
        <v>2022</v>
      </c>
      <c r="C339" s="3" t="s">
        <v>31</v>
      </c>
      <c r="D339" s="3">
        <v>2291.6</v>
      </c>
      <c r="E339" s="3">
        <v>341.5</v>
      </c>
      <c r="F339" s="3">
        <v>510.4</v>
      </c>
    </row>
    <row r="340" spans="1:6">
      <c r="A340" s="3" t="s">
        <v>17</v>
      </c>
      <c r="B340" s="3">
        <v>2022</v>
      </c>
      <c r="C340" s="3" t="s">
        <v>31</v>
      </c>
      <c r="D340" s="3">
        <v>2266.3</v>
      </c>
      <c r="E340" s="3">
        <v>345.8</v>
      </c>
      <c r="F340" s="3">
        <v>514.8</v>
      </c>
    </row>
    <row r="341" spans="1:6">
      <c r="A341" s="3" t="s">
        <v>14</v>
      </c>
      <c r="B341" s="3">
        <v>2022</v>
      </c>
      <c r="C341" s="3" t="s">
        <v>32</v>
      </c>
      <c r="D341" s="3">
        <v>2255.8</v>
      </c>
      <c r="E341" s="3">
        <v>350.5</v>
      </c>
      <c r="F341" s="3">
        <v>520.4</v>
      </c>
    </row>
    <row r="342" spans="1:6">
      <c r="A342" s="3" t="s">
        <v>16</v>
      </c>
      <c r="B342" s="3">
        <v>2022</v>
      </c>
      <c r="C342" s="3" t="s">
        <v>32</v>
      </c>
      <c r="D342" s="3">
        <v>2293.7</v>
      </c>
      <c r="E342" s="3">
        <v>344</v>
      </c>
      <c r="F342" s="3">
        <v>511.6</v>
      </c>
    </row>
    <row r="343" spans="1:6">
      <c r="A343" s="3" t="s">
        <v>17</v>
      </c>
      <c r="B343" s="3">
        <v>2022</v>
      </c>
      <c r="C343" s="3" t="s">
        <v>32</v>
      </c>
      <c r="D343" s="3">
        <v>2269.2</v>
      </c>
      <c r="E343" s="3">
        <v>348</v>
      </c>
      <c r="F343" s="3">
        <v>516.3</v>
      </c>
    </row>
    <row r="344" spans="1:6">
      <c r="A344" s="3" t="s">
        <v>14</v>
      </c>
      <c r="B344" s="3">
        <v>2022</v>
      </c>
      <c r="C344" s="3" t="s">
        <v>33</v>
      </c>
      <c r="D344" s="3">
        <v>2267.8</v>
      </c>
      <c r="E344" s="3">
        <v>351</v>
      </c>
      <c r="F344" s="3">
        <v>522.8</v>
      </c>
    </row>
    <row r="345" spans="1:6">
      <c r="A345" s="3" t="s">
        <v>16</v>
      </c>
      <c r="B345" s="3">
        <v>2022</v>
      </c>
      <c r="C345" s="3" t="s">
        <v>33</v>
      </c>
      <c r="D345" s="3">
        <v>2306.4</v>
      </c>
      <c r="E345" s="3">
        <v>344.9</v>
      </c>
      <c r="F345" s="3">
        <v>513.7</v>
      </c>
    </row>
    <row r="346" spans="1:6">
      <c r="A346" s="3" t="s">
        <v>17</v>
      </c>
      <c r="B346" s="3">
        <v>2022</v>
      </c>
      <c r="C346" s="3" t="s">
        <v>33</v>
      </c>
      <c r="D346" s="3">
        <v>2280.9</v>
      </c>
      <c r="E346" s="3">
        <v>348.7</v>
      </c>
      <c r="F346" s="3">
        <v>518.5</v>
      </c>
    </row>
    <row r="347" spans="1:6">
      <c r="A347" s="3" t="s">
        <v>14</v>
      </c>
      <c r="B347" s="3">
        <v>2022</v>
      </c>
      <c r="C347" s="3" t="s">
        <v>34</v>
      </c>
      <c r="D347" s="3">
        <v>2284.5</v>
      </c>
      <c r="E347" s="3">
        <v>353.2</v>
      </c>
      <c r="F347" s="3">
        <v>526.4</v>
      </c>
    </row>
    <row r="348" spans="1:6">
      <c r="A348" s="3" t="s">
        <v>16</v>
      </c>
      <c r="B348" s="3">
        <v>2022</v>
      </c>
      <c r="C348" s="3" t="s">
        <v>34</v>
      </c>
      <c r="D348" s="3">
        <v>2322.3</v>
      </c>
      <c r="E348" s="3">
        <v>347</v>
      </c>
      <c r="F348" s="3">
        <v>517.2</v>
      </c>
    </row>
    <row r="349" spans="1:6">
      <c r="A349" s="3" t="s">
        <v>17</v>
      </c>
      <c r="B349" s="3">
        <v>2022</v>
      </c>
      <c r="C349" s="3" t="s">
        <v>34</v>
      </c>
      <c r="D349" s="3">
        <v>2297.3</v>
      </c>
      <c r="E349" s="3">
        <v>350.8</v>
      </c>
      <c r="F349" s="3">
        <v>522.1</v>
      </c>
    </row>
    <row r="350" spans="1:6">
      <c r="A350" s="3" t="s">
        <v>14</v>
      </c>
      <c r="B350" s="3">
        <v>2022</v>
      </c>
      <c r="C350" s="3" t="s">
        <v>36</v>
      </c>
      <c r="D350" s="3">
        <v>2287.7</v>
      </c>
      <c r="E350" s="3">
        <v>355.7</v>
      </c>
      <c r="F350" s="3">
        <v>529.2</v>
      </c>
    </row>
    <row r="351" spans="1:6">
      <c r="A351" s="3" t="s">
        <v>16</v>
      </c>
      <c r="B351" s="3">
        <v>2022</v>
      </c>
      <c r="C351" s="3" t="s">
        <v>36</v>
      </c>
      <c r="D351" s="3">
        <v>2314.4</v>
      </c>
      <c r="E351" s="3">
        <v>349.6</v>
      </c>
      <c r="F351" s="3">
        <v>519</v>
      </c>
    </row>
    <row r="352" spans="1:6">
      <c r="A352" s="3" t="s">
        <v>17</v>
      </c>
      <c r="B352" s="3">
        <v>2022</v>
      </c>
      <c r="C352" s="3" t="s">
        <v>36</v>
      </c>
      <c r="D352" s="3">
        <v>2296.8</v>
      </c>
      <c r="E352" s="3">
        <v>353.4</v>
      </c>
      <c r="F352" s="3">
        <v>524.5</v>
      </c>
    </row>
    <row r="353" spans="1:6">
      <c r="A353" s="3" t="s">
        <v>14</v>
      </c>
      <c r="B353" s="3">
        <v>2022</v>
      </c>
      <c r="C353" s="3" t="s">
        <v>37</v>
      </c>
      <c r="D353" s="3">
        <v>2277.1</v>
      </c>
      <c r="E353" s="3">
        <v>359.2</v>
      </c>
      <c r="F353" s="3">
        <v>529.9</v>
      </c>
    </row>
    <row r="354" spans="1:6">
      <c r="A354" s="3" t="s">
        <v>16</v>
      </c>
      <c r="B354" s="3">
        <v>2022</v>
      </c>
      <c r="C354" s="3" t="s">
        <v>37</v>
      </c>
      <c r="D354" s="3">
        <v>2295.8</v>
      </c>
      <c r="E354" s="3">
        <v>353.2</v>
      </c>
      <c r="F354" s="3">
        <v>518.6</v>
      </c>
    </row>
    <row r="355" spans="1:6">
      <c r="A355" s="3" t="s">
        <v>17</v>
      </c>
      <c r="B355" s="3">
        <v>2022</v>
      </c>
      <c r="C355" s="3" t="s">
        <v>37</v>
      </c>
      <c r="D355" s="3">
        <v>2283.4</v>
      </c>
      <c r="E355" s="3">
        <v>356.9</v>
      </c>
      <c r="F355" s="3">
        <v>524.8</v>
      </c>
    </row>
    <row r="356" spans="1:6">
      <c r="A356" s="3" t="s">
        <v>14</v>
      </c>
      <c r="B356" s="3">
        <v>2023</v>
      </c>
      <c r="C356" s="3" t="s">
        <v>19</v>
      </c>
      <c r="D356" s="3">
        <v>2283.2</v>
      </c>
      <c r="E356" s="3">
        <v>363.1</v>
      </c>
      <c r="F356" s="3">
        <v>532.5</v>
      </c>
    </row>
    <row r="357" spans="1:6">
      <c r="A357" s="3" t="s">
        <v>16</v>
      </c>
      <c r="B357" s="3">
        <v>2023</v>
      </c>
      <c r="C357" s="3" t="s">
        <v>19</v>
      </c>
      <c r="D357" s="3">
        <v>2310.2</v>
      </c>
      <c r="E357" s="3">
        <v>357.3</v>
      </c>
      <c r="F357" s="3">
        <v>520.2</v>
      </c>
    </row>
    <row r="358" spans="1:6">
      <c r="A358" s="3" t="s">
        <v>17</v>
      </c>
      <c r="B358" s="3">
        <v>2023</v>
      </c>
      <c r="C358" s="3" t="s">
        <v>19</v>
      </c>
      <c r="D358" s="3">
        <v>2292.7</v>
      </c>
      <c r="E358" s="3">
        <v>360.9</v>
      </c>
      <c r="F358" s="3">
        <v>527</v>
      </c>
    </row>
    <row r="359" spans="1:6">
      <c r="A359" s="3" t="s">
        <v>14</v>
      </c>
      <c r="B359" s="3">
        <v>2023</v>
      </c>
      <c r="C359" s="3" t="s">
        <v>20</v>
      </c>
      <c r="D359" s="3">
        <v>2265.7</v>
      </c>
      <c r="E359" s="3">
        <v>367.3</v>
      </c>
      <c r="F359" s="3">
        <v>533.7</v>
      </c>
    </row>
    <row r="360" spans="1:6">
      <c r="A360" s="3" t="s">
        <v>16</v>
      </c>
      <c r="B360" s="3">
        <v>2023</v>
      </c>
      <c r="C360" s="3" t="s">
        <v>20</v>
      </c>
      <c r="D360" s="3">
        <v>2303.2</v>
      </c>
      <c r="E360" s="3">
        <v>362.2</v>
      </c>
      <c r="F360" s="3">
        <v>525.5</v>
      </c>
    </row>
    <row r="361" spans="1:6">
      <c r="A361" s="3" t="s">
        <v>17</v>
      </c>
      <c r="B361" s="3">
        <v>2023</v>
      </c>
      <c r="C361" s="3" t="s">
        <v>20</v>
      </c>
      <c r="D361" s="3">
        <v>2279.1</v>
      </c>
      <c r="E361" s="3">
        <v>365.4</v>
      </c>
      <c r="F361" s="3">
        <v>529.8</v>
      </c>
    </row>
    <row r="362" spans="1:6">
      <c r="A362" s="3" t="s">
        <v>14</v>
      </c>
      <c r="B362" s="3">
        <v>2023</v>
      </c>
      <c r="C362" s="3" t="s">
        <v>26</v>
      </c>
      <c r="D362" s="3">
        <v>2265.8</v>
      </c>
      <c r="E362" s="3">
        <v>367.3</v>
      </c>
      <c r="F362" s="3">
        <v>533.5</v>
      </c>
    </row>
    <row r="363" spans="1:6">
      <c r="A363" s="3" t="s">
        <v>16</v>
      </c>
      <c r="B363" s="3">
        <v>2023</v>
      </c>
      <c r="C363" s="3" t="s">
        <v>26</v>
      </c>
      <c r="D363" s="3">
        <v>2303.4</v>
      </c>
      <c r="E363" s="3">
        <v>362.3</v>
      </c>
      <c r="F363" s="3">
        <v>525.3</v>
      </c>
    </row>
    <row r="364" spans="1:6">
      <c r="A364" s="3" t="s">
        <v>17</v>
      </c>
      <c r="B364" s="3">
        <v>2023</v>
      </c>
      <c r="C364" s="3" t="s">
        <v>26</v>
      </c>
      <c r="D364" s="3">
        <v>2279.2</v>
      </c>
      <c r="E364" s="3">
        <v>365.4</v>
      </c>
      <c r="F364" s="3">
        <v>529.6</v>
      </c>
    </row>
    <row r="365" spans="1:6">
      <c r="A365" s="3" t="s">
        <v>14</v>
      </c>
      <c r="B365" s="3">
        <v>2023</v>
      </c>
      <c r="C365" s="3" t="s">
        <v>29</v>
      </c>
      <c r="D365" s="3">
        <v>2274.2</v>
      </c>
      <c r="E365" s="3">
        <v>371</v>
      </c>
      <c r="F365" s="3">
        <v>535.8</v>
      </c>
    </row>
    <row r="366" spans="1:6">
      <c r="A366" s="3" t="s">
        <v>16</v>
      </c>
      <c r="B366" s="3">
        <v>2023</v>
      </c>
      <c r="C366" s="3" t="s">
        <v>29</v>
      </c>
      <c r="D366" s="3">
        <v>2317.7</v>
      </c>
      <c r="E366" s="3">
        <v>365.9</v>
      </c>
      <c r="F366" s="3">
        <v>526.9</v>
      </c>
    </row>
    <row r="367" spans="1:6">
      <c r="A367" s="3" t="s">
        <v>17</v>
      </c>
      <c r="B367" s="3">
        <v>2023</v>
      </c>
      <c r="C367" s="3" t="s">
        <v>29</v>
      </c>
      <c r="D367" s="3">
        <v>2289.6</v>
      </c>
      <c r="E367" s="3">
        <v>369</v>
      </c>
      <c r="F367" s="3">
        <v>531.5</v>
      </c>
    </row>
    <row r="368" spans="1:6">
      <c r="A368" s="3" t="s">
        <v>14</v>
      </c>
      <c r="B368" s="3">
        <v>2023</v>
      </c>
      <c r="C368" s="3" t="s">
        <v>15</v>
      </c>
      <c r="D368" s="3">
        <v>2290.7</v>
      </c>
      <c r="E368" s="3">
        <v>372.7</v>
      </c>
      <c r="F368" s="3">
        <v>537.9</v>
      </c>
    </row>
    <row r="369" spans="1:6">
      <c r="A369" s="3" t="s">
        <v>16</v>
      </c>
      <c r="B369" s="3">
        <v>2023</v>
      </c>
      <c r="C369" s="3" t="s">
        <v>15</v>
      </c>
      <c r="D369" s="3">
        <v>2335.1</v>
      </c>
      <c r="E369" s="3">
        <v>367.8</v>
      </c>
      <c r="F369" s="3">
        <v>529.1</v>
      </c>
    </row>
    <row r="370" spans="1:6">
      <c r="A370" s="3" t="s">
        <v>17</v>
      </c>
      <c r="B370" s="3">
        <v>2023</v>
      </c>
      <c r="C370" s="3" t="s">
        <v>15</v>
      </c>
      <c r="D370" s="3">
        <v>2306.9</v>
      </c>
      <c r="E370" s="3">
        <v>370.9</v>
      </c>
      <c r="F370" s="3">
        <v>533.6</v>
      </c>
    </row>
  </sheetData>
  <autoFilter xmlns:etc="http://www.wps.cn/officeDocument/2017/etCustomData" ref="A1:F37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70"/>
  <sheetViews>
    <sheetView workbookViewId="0">
      <selection activeCell="F21" sqref="F21"/>
    </sheetView>
  </sheetViews>
  <sheetFormatPr defaultColWidth="8.88888888888889" defaultRowHeight="14.4"/>
  <cols>
    <col min="1" max="1" width="12.1111111111111" customWidth="1"/>
    <col min="2" max="2" width="5.66666666666667" customWidth="1"/>
    <col min="3" max="3" width="10.7777777777778" customWidth="1"/>
    <col min="4" max="4" width="20.4444444444444" customWidth="1"/>
    <col min="5" max="5" width="13.6666666666667" customWidth="1"/>
    <col min="6" max="6" width="6.66666666666667" customWidth="1"/>
    <col min="7" max="7" width="17.7777777777778" customWidth="1"/>
    <col min="8" max="8" width="12.1111111111111" customWidth="1"/>
    <col min="9" max="9" width="6.66666666666667" customWidth="1"/>
    <col min="10" max="10" width="11" customWidth="1"/>
    <col min="11" max="11" width="19.5555555555556" customWidth="1"/>
    <col min="12" max="12" width="24" customWidth="1"/>
    <col min="13" max="13" width="6.88888888888889" customWidth="1"/>
    <col min="14" max="14" width="23.8888888888889" customWidth="1"/>
    <col min="15" max="15" width="34.1111111111111" customWidth="1"/>
    <col min="16" max="16" width="19.6666666666667" customWidth="1"/>
    <col min="17" max="17" width="6.66666666666667" customWidth="1"/>
    <col min="18" max="18" width="27.8888888888889" customWidth="1"/>
    <col min="19" max="19" width="8.66666666666667" customWidth="1"/>
    <col min="20" max="20" width="9.55555555555556" customWidth="1"/>
    <col min="21" max="21" width="21.7777777777778" customWidth="1"/>
    <col min="22" max="22" width="17" customWidth="1"/>
    <col min="23" max="23" width="8.44444444444444" customWidth="1"/>
    <col min="24" max="24" width="29" customWidth="1"/>
    <col min="25" max="25" width="13.2222222222222" customWidth="1"/>
    <col min="26" max="27" width="29.2222222222222" customWidth="1"/>
    <col min="28" max="28" width="24.2222222222222" customWidth="1"/>
    <col min="29" max="29" width="7.11111111111111" customWidth="1"/>
    <col min="30" max="30" width="11" customWidth="1"/>
    <col min="31" max="31" width="10.1111111111111" customWidth="1"/>
    <col min="32" max="32" width="26.6666666666667" customWidth="1"/>
    <col min="33" max="33" width="14" customWidth="1"/>
    <col min="34" max="34" width="13.5555555555556" customWidth="1"/>
    <col min="35" max="35" width="11.2222222222222" customWidth="1"/>
  </cols>
  <sheetData>
    <row r="1" spans="1:35">
      <c r="A1" s="31" t="s">
        <v>0</v>
      </c>
      <c r="B1" s="31" t="s">
        <v>1</v>
      </c>
      <c r="C1" s="31" t="s">
        <v>2</v>
      </c>
      <c r="D1" s="31" t="s">
        <v>38</v>
      </c>
      <c r="E1" s="31" t="s">
        <v>39</v>
      </c>
      <c r="F1" s="31" t="s">
        <v>40</v>
      </c>
      <c r="G1" s="31" t="s">
        <v>41</v>
      </c>
      <c r="H1" s="31" t="s">
        <v>42</v>
      </c>
      <c r="I1" s="31" t="s">
        <v>43</v>
      </c>
      <c r="J1" s="31" t="s">
        <v>44</v>
      </c>
      <c r="K1" s="31" t="s">
        <v>45</v>
      </c>
      <c r="L1" s="31" t="s">
        <v>46</v>
      </c>
      <c r="M1" s="31" t="s">
        <v>47</v>
      </c>
      <c r="N1" s="31" t="s">
        <v>48</v>
      </c>
      <c r="O1" s="31" t="s">
        <v>49</v>
      </c>
      <c r="P1" s="31" t="s">
        <v>50</v>
      </c>
      <c r="Q1" s="73" t="s">
        <v>3</v>
      </c>
      <c r="R1" s="31" t="s">
        <v>4</v>
      </c>
      <c r="S1" s="31" t="s">
        <v>51</v>
      </c>
      <c r="T1" s="31" t="s">
        <v>52</v>
      </c>
      <c r="U1" s="31" t="s">
        <v>53</v>
      </c>
      <c r="V1" s="74" t="s">
        <v>5</v>
      </c>
      <c r="W1" s="31" t="s">
        <v>54</v>
      </c>
      <c r="X1" s="31" t="s">
        <v>55</v>
      </c>
      <c r="Y1" s="31" t="s">
        <v>7</v>
      </c>
      <c r="Z1" s="76" t="s">
        <v>18</v>
      </c>
      <c r="AA1" s="31" t="s">
        <v>8</v>
      </c>
      <c r="AB1" s="31" t="s">
        <v>56</v>
      </c>
      <c r="AC1" s="31" t="s">
        <v>57</v>
      </c>
      <c r="AD1" s="74" t="s">
        <v>9</v>
      </c>
      <c r="AE1" s="31" t="s">
        <v>10</v>
      </c>
      <c r="AF1" s="31" t="s">
        <v>11</v>
      </c>
      <c r="AG1" s="31" t="s">
        <v>12</v>
      </c>
      <c r="AH1" s="31" t="s">
        <v>13</v>
      </c>
      <c r="AI1" s="65" t="s">
        <v>58</v>
      </c>
    </row>
    <row r="2" spans="1:35">
      <c r="A2" s="3" t="s">
        <v>14</v>
      </c>
      <c r="B2" s="3">
        <v>2013</v>
      </c>
      <c r="C2" s="3" t="s">
        <v>19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68">
        <f>SUM(D2:P2)</f>
        <v>1371.7</v>
      </c>
      <c r="R2" s="3">
        <v>105.1</v>
      </c>
      <c r="S2" s="3">
        <v>106.5</v>
      </c>
      <c r="T2" s="3">
        <v>105.8</v>
      </c>
      <c r="U2" s="3">
        <v>106.4</v>
      </c>
      <c r="V2" s="69">
        <f>SUM(S2:U2)</f>
        <v>318.7</v>
      </c>
      <c r="W2" s="75">
        <f>AVERAGE(W3:W4)</f>
        <v>100.3</v>
      </c>
      <c r="X2" s="3">
        <v>104.8</v>
      </c>
      <c r="Y2" s="3">
        <v>105.5</v>
      </c>
      <c r="Z2" s="3">
        <f>W2+X2+Y2</f>
        <v>310.6</v>
      </c>
      <c r="AA2" s="3">
        <v>103.3</v>
      </c>
      <c r="AB2" s="3">
        <v>104.7</v>
      </c>
      <c r="AC2" s="3">
        <v>104</v>
      </c>
      <c r="AD2" s="68">
        <f>SUM(AB2:AC2)</f>
        <v>208.7</v>
      </c>
      <c r="AE2" s="3">
        <v>103.8</v>
      </c>
      <c r="AF2" s="3">
        <v>103.4</v>
      </c>
      <c r="AG2" s="3">
        <v>104</v>
      </c>
      <c r="AH2" s="3">
        <v>105.1</v>
      </c>
      <c r="AI2" s="3">
        <f>SUM(Q2,R2,V2,Z2,AA2,AD2,AE2,AF2,AG2,AH2)</f>
        <v>2834.4</v>
      </c>
    </row>
    <row r="3" spans="1:35">
      <c r="A3" s="3" t="s">
        <v>16</v>
      </c>
      <c r="B3" s="3">
        <v>2013</v>
      </c>
      <c r="C3" s="3" t="s">
        <v>19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68">
        <f t="shared" ref="Q3:Q66" si="0">SUM(D3:P3)</f>
        <v>1376.4</v>
      </c>
      <c r="R3" s="3">
        <v>105.2</v>
      </c>
      <c r="S3" s="3">
        <v>105.9</v>
      </c>
      <c r="T3" s="3">
        <v>105</v>
      </c>
      <c r="U3" s="3">
        <v>105.8</v>
      </c>
      <c r="V3" s="69">
        <f t="shared" ref="V3:V66" si="1">SUM(S3:U3)</f>
        <v>316.7</v>
      </c>
      <c r="W3" s="3">
        <v>100.3</v>
      </c>
      <c r="X3" s="3">
        <v>104.8</v>
      </c>
      <c r="Y3" s="3">
        <v>105.4</v>
      </c>
      <c r="Z3" s="3">
        <f t="shared" ref="Z3:Z66" si="2">W3+X3+Y3</f>
        <v>310.5</v>
      </c>
      <c r="AA3" s="3">
        <v>103.2</v>
      </c>
      <c r="AB3" s="3">
        <v>104.3</v>
      </c>
      <c r="AC3" s="3">
        <v>104.1</v>
      </c>
      <c r="AD3" s="68">
        <f t="shared" ref="AD3:AD66" si="3">SUM(AB3:AC3)</f>
        <v>208.4</v>
      </c>
      <c r="AE3" s="3">
        <v>103.5</v>
      </c>
      <c r="AF3" s="3">
        <v>102.9</v>
      </c>
      <c r="AG3" s="3">
        <v>103.7</v>
      </c>
      <c r="AH3" s="3">
        <v>104</v>
      </c>
      <c r="AI3" s="3">
        <f t="shared" ref="AI3:AI66" si="4">SUM(Q3,R3,V3,Z3,AA3,AD3,AE3,AF3,AG3,AH3)</f>
        <v>2834.5</v>
      </c>
    </row>
    <row r="4" spans="1:35">
      <c r="A4" s="3" t="s">
        <v>17</v>
      </c>
      <c r="B4" s="3">
        <v>2013</v>
      </c>
      <c r="C4" s="3" t="s">
        <v>19</v>
      </c>
      <c r="D4" s="3">
        <v>108.4</v>
      </c>
      <c r="E4" s="3">
        <v>107.3</v>
      </c>
      <c r="F4" s="3">
        <v>110</v>
      </c>
      <c r="G4" s="3">
        <v>104.4</v>
      </c>
      <c r="H4" s="3">
        <v>105.1</v>
      </c>
      <c r="I4" s="3">
        <v>103.2</v>
      </c>
      <c r="J4" s="3">
        <v>102.2</v>
      </c>
      <c r="K4" s="3">
        <v>106</v>
      </c>
      <c r="L4" s="3">
        <v>106.2</v>
      </c>
      <c r="M4" s="3">
        <v>102.7</v>
      </c>
      <c r="N4" s="3">
        <v>104.9</v>
      </c>
      <c r="O4" s="3">
        <v>107.3</v>
      </c>
      <c r="P4" s="3">
        <v>105.6</v>
      </c>
      <c r="Q4" s="68">
        <f t="shared" si="0"/>
        <v>1373.3</v>
      </c>
      <c r="R4" s="3">
        <v>105.1</v>
      </c>
      <c r="S4" s="3">
        <v>106.3</v>
      </c>
      <c r="T4" s="3">
        <v>105.5</v>
      </c>
      <c r="U4" s="3">
        <v>106.2</v>
      </c>
      <c r="V4" s="69">
        <f t="shared" si="1"/>
        <v>318</v>
      </c>
      <c r="W4" s="3">
        <v>100.3</v>
      </c>
      <c r="X4" s="3">
        <v>104.8</v>
      </c>
      <c r="Y4" s="3">
        <v>105.5</v>
      </c>
      <c r="Z4" s="3">
        <f t="shared" si="2"/>
        <v>310.6</v>
      </c>
      <c r="AA4" s="3">
        <v>103.2</v>
      </c>
      <c r="AB4" s="3">
        <v>104.5</v>
      </c>
      <c r="AC4" s="3">
        <v>104</v>
      </c>
      <c r="AD4" s="68">
        <f t="shared" si="3"/>
        <v>208.5</v>
      </c>
      <c r="AE4" s="3">
        <v>103.6</v>
      </c>
      <c r="AF4" s="3">
        <v>103.1</v>
      </c>
      <c r="AG4" s="3">
        <v>103.9</v>
      </c>
      <c r="AH4" s="3">
        <v>104.6</v>
      </c>
      <c r="AI4" s="3">
        <f t="shared" si="4"/>
        <v>2833.9</v>
      </c>
    </row>
    <row r="5" spans="1:35">
      <c r="A5" s="3" t="s">
        <v>14</v>
      </c>
      <c r="B5" s="3">
        <v>2013</v>
      </c>
      <c r="C5" s="3" t="s">
        <v>20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68">
        <f t="shared" si="0"/>
        <v>1380.4</v>
      </c>
      <c r="R5" s="3">
        <v>105.6</v>
      </c>
      <c r="S5" s="3">
        <v>107.1</v>
      </c>
      <c r="T5" s="3">
        <v>106.3</v>
      </c>
      <c r="U5" s="3">
        <v>107</v>
      </c>
      <c r="V5" s="69">
        <f t="shared" si="1"/>
        <v>320.4</v>
      </c>
      <c r="W5" s="75">
        <f>AVERAGE(W6:W7)</f>
        <v>100.4</v>
      </c>
      <c r="X5" s="3">
        <v>105.2</v>
      </c>
      <c r="Y5" s="3">
        <v>106.2</v>
      </c>
      <c r="Z5" s="3">
        <f t="shared" si="2"/>
        <v>311.8</v>
      </c>
      <c r="AA5" s="3">
        <v>103.9</v>
      </c>
      <c r="AB5" s="3">
        <v>104.6</v>
      </c>
      <c r="AC5" s="3">
        <v>104.4</v>
      </c>
      <c r="AD5" s="68">
        <f t="shared" si="3"/>
        <v>209</v>
      </c>
      <c r="AE5" s="3">
        <v>104.1</v>
      </c>
      <c r="AF5" s="3">
        <v>104</v>
      </c>
      <c r="AG5" s="3">
        <v>104.4</v>
      </c>
      <c r="AH5" s="3">
        <v>105.8</v>
      </c>
      <c r="AI5" s="3">
        <f t="shared" si="4"/>
        <v>2849.4</v>
      </c>
    </row>
    <row r="6" spans="1:35">
      <c r="A6" s="3" t="s">
        <v>16</v>
      </c>
      <c r="B6" s="3">
        <v>2013</v>
      </c>
      <c r="C6" s="3" t="s">
        <v>20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68">
        <f t="shared" si="0"/>
        <v>1390.6</v>
      </c>
      <c r="R6" s="3">
        <v>106</v>
      </c>
      <c r="S6" s="3">
        <v>106.6</v>
      </c>
      <c r="T6" s="3">
        <v>105.5</v>
      </c>
      <c r="U6" s="3">
        <v>106.4</v>
      </c>
      <c r="V6" s="69">
        <f t="shared" si="1"/>
        <v>318.5</v>
      </c>
      <c r="W6" s="3">
        <v>100.4</v>
      </c>
      <c r="X6" s="3">
        <v>105.2</v>
      </c>
      <c r="Y6" s="3">
        <v>105.7</v>
      </c>
      <c r="Z6" s="3">
        <f t="shared" si="2"/>
        <v>311.3</v>
      </c>
      <c r="AA6" s="3">
        <v>104.4</v>
      </c>
      <c r="AB6" s="3">
        <v>104.3</v>
      </c>
      <c r="AC6" s="3">
        <v>104.7</v>
      </c>
      <c r="AD6" s="68">
        <f t="shared" si="3"/>
        <v>209</v>
      </c>
      <c r="AE6" s="3">
        <v>103.7</v>
      </c>
      <c r="AF6" s="3">
        <v>103.3</v>
      </c>
      <c r="AG6" s="3">
        <v>104.3</v>
      </c>
      <c r="AH6" s="3">
        <v>104.7</v>
      </c>
      <c r="AI6" s="3">
        <f t="shared" si="4"/>
        <v>2855.8</v>
      </c>
    </row>
    <row r="7" spans="1:35">
      <c r="A7" s="3" t="s">
        <v>17</v>
      </c>
      <c r="B7" s="3">
        <v>2013</v>
      </c>
      <c r="C7" s="3" t="s">
        <v>20</v>
      </c>
      <c r="D7" s="3">
        <v>110.4</v>
      </c>
      <c r="E7" s="3">
        <v>110.2</v>
      </c>
      <c r="F7" s="3">
        <v>112.8</v>
      </c>
      <c r="G7" s="3">
        <v>104.9</v>
      </c>
      <c r="H7" s="3">
        <v>105.5</v>
      </c>
      <c r="I7" s="3">
        <v>103.6</v>
      </c>
      <c r="J7" s="3">
        <v>103.2</v>
      </c>
      <c r="K7" s="3">
        <v>105.3</v>
      </c>
      <c r="L7" s="3">
        <v>105.1</v>
      </c>
      <c r="M7" s="3">
        <v>102.8</v>
      </c>
      <c r="N7" s="3">
        <v>105.5</v>
      </c>
      <c r="O7" s="3">
        <v>108.3</v>
      </c>
      <c r="P7" s="3">
        <v>106.6</v>
      </c>
      <c r="Q7" s="68">
        <f t="shared" si="0"/>
        <v>1384.2</v>
      </c>
      <c r="R7" s="3">
        <v>105.7</v>
      </c>
      <c r="S7" s="3">
        <v>106.9</v>
      </c>
      <c r="T7" s="3">
        <v>106</v>
      </c>
      <c r="U7" s="3">
        <v>106.8</v>
      </c>
      <c r="V7" s="69">
        <f t="shared" si="1"/>
        <v>319.7</v>
      </c>
      <c r="W7" s="3">
        <v>100.4</v>
      </c>
      <c r="X7" s="3">
        <v>105.2</v>
      </c>
      <c r="Y7" s="3">
        <v>106</v>
      </c>
      <c r="Z7" s="3">
        <f t="shared" si="2"/>
        <v>311.6</v>
      </c>
      <c r="AA7" s="3">
        <v>104.2</v>
      </c>
      <c r="AB7" s="3">
        <v>104.5</v>
      </c>
      <c r="AC7" s="3">
        <v>104.5</v>
      </c>
      <c r="AD7" s="68">
        <f t="shared" si="3"/>
        <v>209</v>
      </c>
      <c r="AE7" s="3">
        <v>103.9</v>
      </c>
      <c r="AF7" s="3">
        <v>103.6</v>
      </c>
      <c r="AG7" s="3">
        <v>104.4</v>
      </c>
      <c r="AH7" s="3">
        <v>105.3</v>
      </c>
      <c r="AI7" s="3">
        <f t="shared" si="4"/>
        <v>2851.6</v>
      </c>
    </row>
    <row r="8" spans="1:35">
      <c r="A8" s="3" t="s">
        <v>14</v>
      </c>
      <c r="B8" s="3">
        <v>2013</v>
      </c>
      <c r="C8" s="3" t="s">
        <v>26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68">
        <f t="shared" si="0"/>
        <v>1382.2</v>
      </c>
      <c r="R8" s="3">
        <v>106.5</v>
      </c>
      <c r="S8" s="3">
        <v>107.6</v>
      </c>
      <c r="T8" s="3">
        <v>106.8</v>
      </c>
      <c r="U8" s="3">
        <v>107.5</v>
      </c>
      <c r="V8" s="69">
        <f t="shared" si="1"/>
        <v>321.9</v>
      </c>
      <c r="W8" s="75">
        <f>AVERAGE(W9:W10)</f>
        <v>100.4</v>
      </c>
      <c r="X8" s="3">
        <v>105.6</v>
      </c>
      <c r="Y8" s="3">
        <v>106.1</v>
      </c>
      <c r="Z8" s="3">
        <f t="shared" si="2"/>
        <v>312.1</v>
      </c>
      <c r="AA8" s="3">
        <v>104.6</v>
      </c>
      <c r="AB8" s="3">
        <v>104.3</v>
      </c>
      <c r="AC8" s="3">
        <v>104.7</v>
      </c>
      <c r="AD8" s="68">
        <f t="shared" si="3"/>
        <v>209</v>
      </c>
      <c r="AE8" s="3">
        <v>104.3</v>
      </c>
      <c r="AF8" s="3">
        <v>104</v>
      </c>
      <c r="AG8" s="3">
        <v>104.6</v>
      </c>
      <c r="AH8" s="3">
        <v>106</v>
      </c>
      <c r="AI8" s="3">
        <f t="shared" si="4"/>
        <v>2855.2</v>
      </c>
    </row>
    <row r="9" spans="1:35">
      <c r="A9" s="3" t="s">
        <v>16</v>
      </c>
      <c r="B9" s="3">
        <v>2013</v>
      </c>
      <c r="C9" s="3" t="s">
        <v>26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68">
        <f t="shared" si="0"/>
        <v>1386.8</v>
      </c>
      <c r="R9" s="3">
        <v>106.8</v>
      </c>
      <c r="S9" s="3">
        <v>107.2</v>
      </c>
      <c r="T9" s="3">
        <v>106</v>
      </c>
      <c r="U9" s="3">
        <v>107</v>
      </c>
      <c r="V9" s="69">
        <f t="shared" si="1"/>
        <v>320.2</v>
      </c>
      <c r="W9" s="3">
        <v>100.4</v>
      </c>
      <c r="X9" s="3">
        <v>105.7</v>
      </c>
      <c r="Y9" s="3">
        <v>106</v>
      </c>
      <c r="Z9" s="3">
        <f t="shared" si="2"/>
        <v>312.1</v>
      </c>
      <c r="AA9" s="3">
        <v>105.5</v>
      </c>
      <c r="AB9" s="3">
        <v>104.2</v>
      </c>
      <c r="AC9" s="3">
        <v>105.2</v>
      </c>
      <c r="AD9" s="68">
        <f t="shared" si="3"/>
        <v>209.4</v>
      </c>
      <c r="AE9" s="3">
        <v>103.8</v>
      </c>
      <c r="AF9" s="3">
        <v>103.5</v>
      </c>
      <c r="AG9" s="3">
        <v>104.9</v>
      </c>
      <c r="AH9" s="3">
        <v>105</v>
      </c>
      <c r="AI9" s="3">
        <f t="shared" si="4"/>
        <v>2858</v>
      </c>
    </row>
    <row r="10" spans="1:35">
      <c r="A10" s="3" t="s">
        <v>17</v>
      </c>
      <c r="B10" s="3">
        <v>2013</v>
      </c>
      <c r="C10" s="3" t="s">
        <v>26</v>
      </c>
      <c r="D10" s="3">
        <v>111.4</v>
      </c>
      <c r="E10" s="3">
        <v>109.7</v>
      </c>
      <c r="F10" s="3">
        <v>111.2</v>
      </c>
      <c r="G10" s="3">
        <v>105.1</v>
      </c>
      <c r="H10" s="3">
        <v>104.9</v>
      </c>
      <c r="I10" s="3">
        <v>105.3</v>
      </c>
      <c r="J10" s="3">
        <v>102.2</v>
      </c>
      <c r="K10" s="3">
        <v>105</v>
      </c>
      <c r="L10" s="3">
        <v>104.2</v>
      </c>
      <c r="M10" s="3">
        <v>103</v>
      </c>
      <c r="N10" s="3">
        <v>106.2</v>
      </c>
      <c r="O10" s="3">
        <v>108.9</v>
      </c>
      <c r="P10" s="3">
        <v>106.9</v>
      </c>
      <c r="Q10" s="68">
        <f t="shared" si="0"/>
        <v>1384</v>
      </c>
      <c r="R10" s="3">
        <v>106.6</v>
      </c>
      <c r="S10" s="3">
        <v>107.4</v>
      </c>
      <c r="T10" s="3">
        <v>106.5</v>
      </c>
      <c r="U10" s="3">
        <v>107.3</v>
      </c>
      <c r="V10" s="69">
        <f t="shared" si="1"/>
        <v>321.2</v>
      </c>
      <c r="W10" s="3">
        <v>100.4</v>
      </c>
      <c r="X10" s="3">
        <v>105.6</v>
      </c>
      <c r="Y10" s="3">
        <v>106.1</v>
      </c>
      <c r="Z10" s="3">
        <f t="shared" si="2"/>
        <v>312.1</v>
      </c>
      <c r="AA10" s="3">
        <v>105.1</v>
      </c>
      <c r="AB10" s="3">
        <v>104.3</v>
      </c>
      <c r="AC10" s="3">
        <v>104.9</v>
      </c>
      <c r="AD10" s="68">
        <f t="shared" si="3"/>
        <v>209.2</v>
      </c>
      <c r="AE10" s="3">
        <v>104</v>
      </c>
      <c r="AF10" s="3">
        <v>103.7</v>
      </c>
      <c r="AG10" s="3">
        <v>104.7</v>
      </c>
      <c r="AH10" s="3">
        <v>105.5</v>
      </c>
      <c r="AI10" s="3">
        <f t="shared" si="4"/>
        <v>2856.1</v>
      </c>
    </row>
    <row r="11" spans="1:35">
      <c r="A11" s="3" t="s">
        <v>14</v>
      </c>
      <c r="B11" s="3">
        <v>2013</v>
      </c>
      <c r="C11" s="3" t="s">
        <v>29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68">
        <f t="shared" si="0"/>
        <v>1385.8</v>
      </c>
      <c r="R11" s="3">
        <v>107.1</v>
      </c>
      <c r="S11" s="3">
        <v>108.1</v>
      </c>
      <c r="T11" s="3">
        <v>107.4</v>
      </c>
      <c r="U11" s="3">
        <v>108</v>
      </c>
      <c r="V11" s="69">
        <f t="shared" si="1"/>
        <v>323.5</v>
      </c>
      <c r="W11" s="75">
        <v>100.5</v>
      </c>
      <c r="X11" s="3">
        <v>106.1</v>
      </c>
      <c r="Y11" s="3">
        <v>106.5</v>
      </c>
      <c r="Z11" s="3">
        <f t="shared" si="2"/>
        <v>313.1</v>
      </c>
      <c r="AA11" s="3">
        <v>104.4</v>
      </c>
      <c r="AB11" s="3">
        <v>102.7</v>
      </c>
      <c r="AC11" s="3">
        <v>105.1</v>
      </c>
      <c r="AD11" s="68">
        <f t="shared" si="3"/>
        <v>207.8</v>
      </c>
      <c r="AE11" s="3">
        <v>104.8</v>
      </c>
      <c r="AF11" s="3">
        <v>104.5</v>
      </c>
      <c r="AG11" s="3">
        <v>104.6</v>
      </c>
      <c r="AH11" s="3">
        <v>106.4</v>
      </c>
      <c r="AI11" s="3">
        <f t="shared" si="4"/>
        <v>2862</v>
      </c>
    </row>
    <row r="12" spans="1:35">
      <c r="A12" s="3" t="s">
        <v>16</v>
      </c>
      <c r="B12" s="3">
        <v>2013</v>
      </c>
      <c r="C12" s="3" t="s">
        <v>29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68">
        <f t="shared" si="0"/>
        <v>1397.7</v>
      </c>
      <c r="R12" s="3">
        <v>108.5</v>
      </c>
      <c r="S12" s="3">
        <v>107.9</v>
      </c>
      <c r="T12" s="3">
        <v>106.4</v>
      </c>
      <c r="U12" s="3">
        <v>107.7</v>
      </c>
      <c r="V12" s="69">
        <f t="shared" si="1"/>
        <v>322</v>
      </c>
      <c r="W12" s="3">
        <v>100.5</v>
      </c>
      <c r="X12" s="3">
        <v>106.5</v>
      </c>
      <c r="Y12" s="3">
        <v>106.4</v>
      </c>
      <c r="Z12" s="3">
        <f t="shared" si="2"/>
        <v>313.4</v>
      </c>
      <c r="AA12" s="3">
        <v>105</v>
      </c>
      <c r="AB12" s="3">
        <v>103.2</v>
      </c>
      <c r="AC12" s="3">
        <v>105.7</v>
      </c>
      <c r="AD12" s="68">
        <f t="shared" si="3"/>
        <v>208.9</v>
      </c>
      <c r="AE12" s="3">
        <v>105.2</v>
      </c>
      <c r="AF12" s="3">
        <v>104</v>
      </c>
      <c r="AG12" s="3">
        <v>105.1</v>
      </c>
      <c r="AH12" s="3">
        <v>105.7</v>
      </c>
      <c r="AI12" s="3">
        <f t="shared" si="4"/>
        <v>2875.5</v>
      </c>
    </row>
    <row r="13" spans="1:35">
      <c r="A13" s="3" t="s">
        <v>17</v>
      </c>
      <c r="B13" s="3">
        <v>2013</v>
      </c>
      <c r="C13" s="3" t="s">
        <v>29</v>
      </c>
      <c r="D13" s="3">
        <v>111.6</v>
      </c>
      <c r="E13" s="3">
        <v>110.9</v>
      </c>
      <c r="F13" s="3">
        <v>106.6</v>
      </c>
      <c r="G13" s="3">
        <v>105.7</v>
      </c>
      <c r="H13" s="3">
        <v>104.4</v>
      </c>
      <c r="I13" s="3">
        <v>108.9</v>
      </c>
      <c r="J13" s="3">
        <v>105.5</v>
      </c>
      <c r="K13" s="3">
        <v>105.3</v>
      </c>
      <c r="L13" s="3">
        <v>103.5</v>
      </c>
      <c r="M13" s="3">
        <v>103.3</v>
      </c>
      <c r="N13" s="3">
        <v>107.2</v>
      </c>
      <c r="O13" s="3">
        <v>109.6</v>
      </c>
      <c r="P13" s="3">
        <v>107.7</v>
      </c>
      <c r="Q13" s="68">
        <f t="shared" si="0"/>
        <v>1390.2</v>
      </c>
      <c r="R13" s="3">
        <v>107.5</v>
      </c>
      <c r="S13" s="3">
        <v>108</v>
      </c>
      <c r="T13" s="3">
        <v>107</v>
      </c>
      <c r="U13" s="3">
        <v>107.9</v>
      </c>
      <c r="V13" s="69">
        <f t="shared" si="1"/>
        <v>322.9</v>
      </c>
      <c r="W13" s="3">
        <v>100.5</v>
      </c>
      <c r="X13" s="3">
        <v>106.3</v>
      </c>
      <c r="Y13" s="3">
        <v>106.5</v>
      </c>
      <c r="Z13" s="3">
        <f t="shared" si="2"/>
        <v>313.3</v>
      </c>
      <c r="AA13" s="3">
        <v>104.7</v>
      </c>
      <c r="AB13" s="3">
        <v>102.9</v>
      </c>
      <c r="AC13" s="3">
        <v>105.3</v>
      </c>
      <c r="AD13" s="68">
        <f t="shared" si="3"/>
        <v>208.2</v>
      </c>
      <c r="AE13" s="3">
        <v>105</v>
      </c>
      <c r="AF13" s="3">
        <v>104.2</v>
      </c>
      <c r="AG13" s="3">
        <v>104.8</v>
      </c>
      <c r="AH13" s="3">
        <v>106.1</v>
      </c>
      <c r="AI13" s="3">
        <f t="shared" si="4"/>
        <v>2866.9</v>
      </c>
    </row>
    <row r="14" spans="1:35">
      <c r="A14" s="3" t="s">
        <v>14</v>
      </c>
      <c r="B14" s="3">
        <v>2013</v>
      </c>
      <c r="C14" s="3" t="s">
        <v>15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68">
        <f t="shared" si="0"/>
        <v>1394</v>
      </c>
      <c r="R14" s="3">
        <v>108.1</v>
      </c>
      <c r="S14" s="3">
        <v>108.8</v>
      </c>
      <c r="T14" s="3">
        <v>107.9</v>
      </c>
      <c r="U14" s="3">
        <v>108.6</v>
      </c>
      <c r="V14" s="69">
        <f t="shared" si="1"/>
        <v>325.3</v>
      </c>
      <c r="W14" s="75">
        <v>100.5</v>
      </c>
      <c r="X14" s="3">
        <v>106.8</v>
      </c>
      <c r="Y14" s="3">
        <v>107.5</v>
      </c>
      <c r="Z14" s="3">
        <f t="shared" si="2"/>
        <v>314.8</v>
      </c>
      <c r="AA14" s="3">
        <v>104.1</v>
      </c>
      <c r="AB14" s="3">
        <v>102.1</v>
      </c>
      <c r="AC14" s="3">
        <v>105.7</v>
      </c>
      <c r="AD14" s="68">
        <f t="shared" si="3"/>
        <v>207.8</v>
      </c>
      <c r="AE14" s="3">
        <v>105.5</v>
      </c>
      <c r="AF14" s="3">
        <v>105</v>
      </c>
      <c r="AG14" s="3">
        <v>104.8</v>
      </c>
      <c r="AH14" s="3">
        <v>107.2</v>
      </c>
      <c r="AI14" s="3">
        <f t="shared" si="4"/>
        <v>2876.6</v>
      </c>
    </row>
    <row r="15" spans="1:35">
      <c r="A15" s="3" t="s">
        <v>16</v>
      </c>
      <c r="B15" s="3">
        <v>2013</v>
      </c>
      <c r="C15" s="3" t="s">
        <v>15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68">
        <f t="shared" si="0"/>
        <v>1417.2</v>
      </c>
      <c r="R15" s="3">
        <v>109.8</v>
      </c>
      <c r="S15" s="3">
        <v>108.5</v>
      </c>
      <c r="T15" s="3">
        <v>106.7</v>
      </c>
      <c r="U15" s="3">
        <v>108.3</v>
      </c>
      <c r="V15" s="69">
        <f t="shared" si="1"/>
        <v>323.5</v>
      </c>
      <c r="W15" s="3">
        <v>100.5</v>
      </c>
      <c r="X15" s="3">
        <v>107.1</v>
      </c>
      <c r="Y15" s="3">
        <v>107.2</v>
      </c>
      <c r="Z15" s="3">
        <f t="shared" si="2"/>
        <v>314.8</v>
      </c>
      <c r="AA15" s="3">
        <v>103.9</v>
      </c>
      <c r="AB15" s="3">
        <v>102.6</v>
      </c>
      <c r="AC15" s="3">
        <v>106.2</v>
      </c>
      <c r="AD15" s="68">
        <f t="shared" si="3"/>
        <v>208.8</v>
      </c>
      <c r="AE15" s="3">
        <v>105.7</v>
      </c>
      <c r="AF15" s="3">
        <v>104.6</v>
      </c>
      <c r="AG15" s="3">
        <v>104.9</v>
      </c>
      <c r="AH15" s="3">
        <v>106.6</v>
      </c>
      <c r="AI15" s="3">
        <f t="shared" si="4"/>
        <v>2899.8</v>
      </c>
    </row>
    <row r="16" spans="1:35">
      <c r="A16" s="3" t="s">
        <v>17</v>
      </c>
      <c r="B16" s="3">
        <v>2013</v>
      </c>
      <c r="C16" s="3" t="s">
        <v>15</v>
      </c>
      <c r="D16" s="3">
        <v>112.3</v>
      </c>
      <c r="E16" s="3">
        <v>111.3</v>
      </c>
      <c r="F16" s="3">
        <v>104.7</v>
      </c>
      <c r="G16" s="3">
        <v>106.8</v>
      </c>
      <c r="H16" s="3">
        <v>103.9</v>
      </c>
      <c r="I16" s="3">
        <v>109.3</v>
      </c>
      <c r="J16" s="3">
        <v>112.9</v>
      </c>
      <c r="K16" s="3">
        <v>105.8</v>
      </c>
      <c r="L16" s="3">
        <v>103.1</v>
      </c>
      <c r="M16" s="3">
        <v>104.3</v>
      </c>
      <c r="N16" s="3">
        <v>108.1</v>
      </c>
      <c r="O16" s="3">
        <v>110.5</v>
      </c>
      <c r="P16" s="3">
        <v>109.2</v>
      </c>
      <c r="Q16" s="68">
        <f t="shared" si="0"/>
        <v>1402.2</v>
      </c>
      <c r="R16" s="3">
        <v>108.6</v>
      </c>
      <c r="S16" s="3">
        <v>108.7</v>
      </c>
      <c r="T16" s="3">
        <v>107.4</v>
      </c>
      <c r="U16" s="3">
        <v>108.5</v>
      </c>
      <c r="V16" s="69">
        <f t="shared" si="1"/>
        <v>324.6</v>
      </c>
      <c r="W16" s="3">
        <v>100.5</v>
      </c>
      <c r="X16" s="3">
        <v>106.9</v>
      </c>
      <c r="Y16" s="3">
        <v>107.4</v>
      </c>
      <c r="Z16" s="3">
        <f t="shared" si="2"/>
        <v>314.8</v>
      </c>
      <c r="AA16" s="3">
        <v>104</v>
      </c>
      <c r="AB16" s="3">
        <v>102.3</v>
      </c>
      <c r="AC16" s="3">
        <v>105.9</v>
      </c>
      <c r="AD16" s="68">
        <f t="shared" si="3"/>
        <v>208.2</v>
      </c>
      <c r="AE16" s="3">
        <v>105.6</v>
      </c>
      <c r="AF16" s="3">
        <v>104.8</v>
      </c>
      <c r="AG16" s="3">
        <v>104.8</v>
      </c>
      <c r="AH16" s="3">
        <v>106.9</v>
      </c>
      <c r="AI16" s="3">
        <f t="shared" si="4"/>
        <v>2884.5</v>
      </c>
    </row>
    <row r="17" spans="1:35">
      <c r="A17" s="3" t="s">
        <v>14</v>
      </c>
      <c r="B17" s="3">
        <v>2013</v>
      </c>
      <c r="C17" s="3" t="s">
        <v>30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68">
        <f t="shared" si="0"/>
        <v>1420</v>
      </c>
      <c r="R17" s="3">
        <v>109</v>
      </c>
      <c r="S17" s="3">
        <v>109.7</v>
      </c>
      <c r="T17" s="3">
        <v>108.8</v>
      </c>
      <c r="U17" s="3">
        <v>109.5</v>
      </c>
      <c r="V17" s="69">
        <f t="shared" si="1"/>
        <v>328</v>
      </c>
      <c r="W17" s="75">
        <v>100.6</v>
      </c>
      <c r="X17" s="3">
        <v>107.5</v>
      </c>
      <c r="Y17" s="3">
        <v>108.5</v>
      </c>
      <c r="Z17" s="3">
        <f t="shared" si="2"/>
        <v>316.6</v>
      </c>
      <c r="AA17" s="3">
        <v>105</v>
      </c>
      <c r="AB17" s="3">
        <v>102.5</v>
      </c>
      <c r="AC17" s="3">
        <v>106.3</v>
      </c>
      <c r="AD17" s="68">
        <f t="shared" si="3"/>
        <v>208.8</v>
      </c>
      <c r="AE17" s="3">
        <v>106.5</v>
      </c>
      <c r="AF17" s="3">
        <v>105.6</v>
      </c>
      <c r="AG17" s="3">
        <v>105.5</v>
      </c>
      <c r="AH17" s="3">
        <v>108.9</v>
      </c>
      <c r="AI17" s="3">
        <f t="shared" si="4"/>
        <v>2913.9</v>
      </c>
    </row>
    <row r="18" spans="1:35">
      <c r="A18" s="3" t="s">
        <v>16</v>
      </c>
      <c r="B18" s="3">
        <v>2013</v>
      </c>
      <c r="C18" s="3" t="s">
        <v>30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68">
        <f t="shared" si="0"/>
        <v>1464.6</v>
      </c>
      <c r="R18" s="3">
        <v>110.9</v>
      </c>
      <c r="S18" s="3">
        <v>109.2</v>
      </c>
      <c r="T18" s="3">
        <v>107.2</v>
      </c>
      <c r="U18" s="3">
        <v>108.9</v>
      </c>
      <c r="V18" s="69">
        <f t="shared" si="1"/>
        <v>325.3</v>
      </c>
      <c r="W18" s="3">
        <v>106.6</v>
      </c>
      <c r="X18" s="3">
        <v>107.7</v>
      </c>
      <c r="Y18" s="3">
        <v>108</v>
      </c>
      <c r="Z18" s="3">
        <f t="shared" si="2"/>
        <v>322.3</v>
      </c>
      <c r="AA18" s="3">
        <v>105.2</v>
      </c>
      <c r="AB18" s="3">
        <v>103.3</v>
      </c>
      <c r="AC18" s="3">
        <v>106.5</v>
      </c>
      <c r="AD18" s="68">
        <f t="shared" si="3"/>
        <v>209.8</v>
      </c>
      <c r="AE18" s="3">
        <v>108.1</v>
      </c>
      <c r="AF18" s="3">
        <v>105.2</v>
      </c>
      <c r="AG18" s="3">
        <v>106.1</v>
      </c>
      <c r="AH18" s="3">
        <v>109.7</v>
      </c>
      <c r="AI18" s="3">
        <f t="shared" si="4"/>
        <v>2967.2</v>
      </c>
    </row>
    <row r="19" spans="1:35">
      <c r="A19" s="3" t="s">
        <v>17</v>
      </c>
      <c r="B19" s="3">
        <v>2013</v>
      </c>
      <c r="C19" s="3" t="s">
        <v>30</v>
      </c>
      <c r="D19" s="3">
        <v>113.8</v>
      </c>
      <c r="E19" s="3">
        <v>114.9</v>
      </c>
      <c r="F19" s="3">
        <v>109.8</v>
      </c>
      <c r="G19" s="3">
        <v>107.9</v>
      </c>
      <c r="H19" s="3">
        <v>104.2</v>
      </c>
      <c r="I19" s="3">
        <v>110.7</v>
      </c>
      <c r="J19" s="3">
        <v>126.7</v>
      </c>
      <c r="K19" s="3">
        <v>106.3</v>
      </c>
      <c r="L19" s="3">
        <v>103.2</v>
      </c>
      <c r="M19" s="3">
        <v>105.7</v>
      </c>
      <c r="N19" s="3">
        <v>109</v>
      </c>
      <c r="O19" s="3">
        <v>111.6</v>
      </c>
      <c r="P19" s="3">
        <v>112.2</v>
      </c>
      <c r="Q19" s="68">
        <f t="shared" si="0"/>
        <v>1436</v>
      </c>
      <c r="R19" s="3">
        <v>109.5</v>
      </c>
      <c r="S19" s="3">
        <v>109.5</v>
      </c>
      <c r="T19" s="3">
        <v>108.1</v>
      </c>
      <c r="U19" s="3">
        <v>109.3</v>
      </c>
      <c r="V19" s="69">
        <f t="shared" si="1"/>
        <v>326.9</v>
      </c>
      <c r="W19" s="3">
        <v>106.6</v>
      </c>
      <c r="X19" s="3">
        <v>107.6</v>
      </c>
      <c r="Y19" s="3">
        <v>108.3</v>
      </c>
      <c r="Z19" s="3">
        <f t="shared" si="2"/>
        <v>322.5</v>
      </c>
      <c r="AA19" s="3">
        <v>105.1</v>
      </c>
      <c r="AB19" s="3">
        <v>102.8</v>
      </c>
      <c r="AC19" s="3">
        <v>106.4</v>
      </c>
      <c r="AD19" s="68">
        <f t="shared" si="3"/>
        <v>209.2</v>
      </c>
      <c r="AE19" s="3">
        <v>107.4</v>
      </c>
      <c r="AF19" s="3">
        <v>105.4</v>
      </c>
      <c r="AG19" s="3">
        <v>105.8</v>
      </c>
      <c r="AH19" s="3">
        <v>109.3</v>
      </c>
      <c r="AI19" s="3">
        <f t="shared" si="4"/>
        <v>2937.1</v>
      </c>
    </row>
    <row r="20" spans="1:35">
      <c r="A20" s="3" t="s">
        <v>14</v>
      </c>
      <c r="B20" s="3">
        <v>2013</v>
      </c>
      <c r="C20" s="3" t="s">
        <v>31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129.2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68">
        <f t="shared" si="0"/>
        <v>1445.9</v>
      </c>
      <c r="R20" s="3">
        <v>109.8</v>
      </c>
      <c r="S20" s="3">
        <v>110.5</v>
      </c>
      <c r="T20" s="3">
        <v>109.5</v>
      </c>
      <c r="U20" s="3">
        <v>110.3</v>
      </c>
      <c r="V20" s="69">
        <f t="shared" si="1"/>
        <v>330.3</v>
      </c>
      <c r="W20" s="75">
        <v>100.7</v>
      </c>
      <c r="X20" s="3">
        <v>108.3</v>
      </c>
      <c r="Y20" s="3">
        <v>109.5</v>
      </c>
      <c r="Z20" s="3">
        <f t="shared" si="2"/>
        <v>318.5</v>
      </c>
      <c r="AA20" s="3">
        <v>106.8</v>
      </c>
      <c r="AB20" s="3">
        <v>102.5</v>
      </c>
      <c r="AC20" s="3">
        <v>106.9</v>
      </c>
      <c r="AD20" s="68">
        <f t="shared" si="3"/>
        <v>209.4</v>
      </c>
      <c r="AE20" s="3">
        <v>107.8</v>
      </c>
      <c r="AF20" s="3">
        <v>106.4</v>
      </c>
      <c r="AG20" s="3">
        <v>106.5</v>
      </c>
      <c r="AH20" s="3">
        <v>110.7</v>
      </c>
      <c r="AI20" s="3">
        <f t="shared" si="4"/>
        <v>2952.1</v>
      </c>
    </row>
    <row r="21" spans="1:35">
      <c r="A21" s="3" t="s">
        <v>16</v>
      </c>
      <c r="B21" s="3">
        <v>2013</v>
      </c>
      <c r="C21" s="3" t="s">
        <v>31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68">
        <f t="shared" si="0"/>
        <v>1489.4</v>
      </c>
      <c r="R21" s="3">
        <v>111.7</v>
      </c>
      <c r="S21" s="3">
        <v>109.8</v>
      </c>
      <c r="T21" s="3">
        <v>107.8</v>
      </c>
      <c r="U21" s="3">
        <v>109.5</v>
      </c>
      <c r="V21" s="69">
        <f t="shared" si="1"/>
        <v>327.1</v>
      </c>
      <c r="W21" s="3">
        <v>107.7</v>
      </c>
      <c r="X21" s="3">
        <v>108.1</v>
      </c>
      <c r="Y21" s="3">
        <v>108.6</v>
      </c>
      <c r="Z21" s="3">
        <f t="shared" si="2"/>
        <v>324.4</v>
      </c>
      <c r="AA21" s="3">
        <v>107.3</v>
      </c>
      <c r="AB21" s="3">
        <v>103.2</v>
      </c>
      <c r="AC21" s="3">
        <v>107.1</v>
      </c>
      <c r="AD21" s="68">
        <f t="shared" si="3"/>
        <v>210.3</v>
      </c>
      <c r="AE21" s="3">
        <v>110.1</v>
      </c>
      <c r="AF21" s="3">
        <v>105.9</v>
      </c>
      <c r="AG21" s="3">
        <v>107.3</v>
      </c>
      <c r="AH21" s="3">
        <v>111.4</v>
      </c>
      <c r="AI21" s="3">
        <f t="shared" si="4"/>
        <v>3004.9</v>
      </c>
    </row>
    <row r="22" spans="1:35">
      <c r="A22" s="3" t="s">
        <v>17</v>
      </c>
      <c r="B22" s="3">
        <v>2013</v>
      </c>
      <c r="C22" s="3" t="s">
        <v>31</v>
      </c>
      <c r="D22" s="3">
        <v>114.8</v>
      </c>
      <c r="E22" s="3">
        <v>116.4</v>
      </c>
      <c r="F22" s="3">
        <v>111.9</v>
      </c>
      <c r="G22" s="3">
        <v>108.9</v>
      </c>
      <c r="H22" s="3">
        <v>104.3</v>
      </c>
      <c r="I22" s="3">
        <v>111.7</v>
      </c>
      <c r="J22" s="3">
        <v>140</v>
      </c>
      <c r="K22" s="3">
        <v>106.4</v>
      </c>
      <c r="L22" s="3">
        <v>103.3</v>
      </c>
      <c r="M22" s="3">
        <v>106.8</v>
      </c>
      <c r="N22" s="3">
        <v>109.6</v>
      </c>
      <c r="O22" s="3">
        <v>112.6</v>
      </c>
      <c r="P22" s="3">
        <v>114.7</v>
      </c>
      <c r="Q22" s="68">
        <f t="shared" si="0"/>
        <v>1461.4</v>
      </c>
      <c r="R22" s="3">
        <v>110.3</v>
      </c>
      <c r="S22" s="3">
        <v>110.2</v>
      </c>
      <c r="T22" s="3">
        <v>108.8</v>
      </c>
      <c r="U22" s="3">
        <v>110</v>
      </c>
      <c r="V22" s="69">
        <f t="shared" si="1"/>
        <v>329</v>
      </c>
      <c r="W22" s="3">
        <v>107.7</v>
      </c>
      <c r="X22" s="3">
        <v>108.2</v>
      </c>
      <c r="Y22" s="3">
        <v>109.2</v>
      </c>
      <c r="Z22" s="3">
        <f t="shared" si="2"/>
        <v>325.1</v>
      </c>
      <c r="AA22" s="3">
        <v>107.1</v>
      </c>
      <c r="AB22" s="3">
        <v>102.8</v>
      </c>
      <c r="AC22" s="3">
        <v>107</v>
      </c>
      <c r="AD22" s="68">
        <f t="shared" si="3"/>
        <v>209.8</v>
      </c>
      <c r="AE22" s="3">
        <v>109.1</v>
      </c>
      <c r="AF22" s="3">
        <v>106.1</v>
      </c>
      <c r="AG22" s="3">
        <v>106.9</v>
      </c>
      <c r="AH22" s="3">
        <v>111</v>
      </c>
      <c r="AI22" s="3">
        <f t="shared" si="4"/>
        <v>2975.8</v>
      </c>
    </row>
    <row r="23" spans="1:35">
      <c r="A23" s="3" t="s">
        <v>14</v>
      </c>
      <c r="B23" s="3">
        <v>2013</v>
      </c>
      <c r="C23" s="3" t="s">
        <v>32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68">
        <f t="shared" si="0"/>
        <v>1462.5</v>
      </c>
      <c r="R23" s="3">
        <v>110.7</v>
      </c>
      <c r="S23" s="3">
        <v>111.3</v>
      </c>
      <c r="T23" s="3">
        <v>110.2</v>
      </c>
      <c r="U23" s="3">
        <v>111.1</v>
      </c>
      <c r="V23" s="69">
        <f t="shared" si="1"/>
        <v>332.6</v>
      </c>
      <c r="W23" s="75">
        <v>108.9</v>
      </c>
      <c r="X23" s="3">
        <v>108.7</v>
      </c>
      <c r="Y23" s="3">
        <v>109.9</v>
      </c>
      <c r="Z23" s="3">
        <f t="shared" si="2"/>
        <v>327.5</v>
      </c>
      <c r="AA23" s="3">
        <v>107.8</v>
      </c>
      <c r="AB23" s="3">
        <v>105</v>
      </c>
      <c r="AC23" s="3">
        <v>107.5</v>
      </c>
      <c r="AD23" s="68">
        <f t="shared" si="3"/>
        <v>212.5</v>
      </c>
      <c r="AE23" s="3">
        <v>108.7</v>
      </c>
      <c r="AF23" s="3">
        <v>106.8</v>
      </c>
      <c r="AG23" s="3">
        <v>107.5</v>
      </c>
      <c r="AH23" s="3">
        <v>112.1</v>
      </c>
      <c r="AI23" s="3">
        <f t="shared" si="4"/>
        <v>2988.7</v>
      </c>
    </row>
    <row r="24" spans="1:35">
      <c r="A24" s="3" t="s">
        <v>16</v>
      </c>
      <c r="B24" s="3">
        <v>2013</v>
      </c>
      <c r="C24" s="3" t="s">
        <v>32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68">
        <f t="shared" si="0"/>
        <v>1506.1</v>
      </c>
      <c r="R24" s="3">
        <v>112.4</v>
      </c>
      <c r="S24" s="3">
        <v>110.6</v>
      </c>
      <c r="T24" s="3">
        <v>108.3</v>
      </c>
      <c r="U24" s="3">
        <v>110.2</v>
      </c>
      <c r="V24" s="69">
        <f t="shared" si="1"/>
        <v>329.1</v>
      </c>
      <c r="W24" s="3">
        <v>108.9</v>
      </c>
      <c r="X24" s="3">
        <v>108.7</v>
      </c>
      <c r="Y24" s="3">
        <v>109.3</v>
      </c>
      <c r="Z24" s="3">
        <f t="shared" si="2"/>
        <v>326.9</v>
      </c>
      <c r="AA24" s="3">
        <v>108.1</v>
      </c>
      <c r="AB24" s="3">
        <v>106</v>
      </c>
      <c r="AC24" s="3">
        <v>107.6</v>
      </c>
      <c r="AD24" s="68">
        <f t="shared" si="3"/>
        <v>213.6</v>
      </c>
      <c r="AE24" s="3">
        <v>110.8</v>
      </c>
      <c r="AF24" s="3">
        <v>106.5</v>
      </c>
      <c r="AG24" s="3">
        <v>108.3</v>
      </c>
      <c r="AH24" s="3">
        <v>112.7</v>
      </c>
      <c r="AI24" s="3">
        <f t="shared" si="4"/>
        <v>3034.5</v>
      </c>
    </row>
    <row r="25" spans="1:35">
      <c r="A25" s="3" t="s">
        <v>17</v>
      </c>
      <c r="B25" s="3">
        <v>2013</v>
      </c>
      <c r="C25" s="3" t="s">
        <v>32</v>
      </c>
      <c r="D25" s="3">
        <v>115.6</v>
      </c>
      <c r="E25" s="3">
        <v>117.2</v>
      </c>
      <c r="F25" s="3">
        <v>111.7</v>
      </c>
      <c r="G25" s="3">
        <v>109.6</v>
      </c>
      <c r="H25" s="3">
        <v>104.5</v>
      </c>
      <c r="I25" s="3">
        <v>109.8</v>
      </c>
      <c r="J25" s="3">
        <v>151.8</v>
      </c>
      <c r="K25" s="3">
        <v>106.5</v>
      </c>
      <c r="L25" s="3">
        <v>103.1</v>
      </c>
      <c r="M25" s="3">
        <v>107.4</v>
      </c>
      <c r="N25" s="3">
        <v>110.2</v>
      </c>
      <c r="O25" s="3">
        <v>113.4</v>
      </c>
      <c r="P25" s="3">
        <v>116.6</v>
      </c>
      <c r="Q25" s="68">
        <f t="shared" si="0"/>
        <v>1477.4</v>
      </c>
      <c r="R25" s="3">
        <v>111.2</v>
      </c>
      <c r="S25" s="3">
        <v>111</v>
      </c>
      <c r="T25" s="3">
        <v>109.4</v>
      </c>
      <c r="U25" s="3">
        <v>110.7</v>
      </c>
      <c r="V25" s="69">
        <f t="shared" si="1"/>
        <v>331.1</v>
      </c>
      <c r="W25" s="3">
        <v>108.9</v>
      </c>
      <c r="X25" s="3">
        <v>108.7</v>
      </c>
      <c r="Y25" s="3">
        <v>109.7</v>
      </c>
      <c r="Z25" s="3">
        <f t="shared" si="2"/>
        <v>327.3</v>
      </c>
      <c r="AA25" s="3">
        <v>108</v>
      </c>
      <c r="AB25" s="3">
        <v>105.4</v>
      </c>
      <c r="AC25" s="3">
        <v>107.5</v>
      </c>
      <c r="AD25" s="68">
        <f t="shared" si="3"/>
        <v>212.9</v>
      </c>
      <c r="AE25" s="3">
        <v>109.9</v>
      </c>
      <c r="AF25" s="3">
        <v>106.6</v>
      </c>
      <c r="AG25" s="3">
        <v>107.9</v>
      </c>
      <c r="AH25" s="3">
        <v>112.4</v>
      </c>
      <c r="AI25" s="3">
        <f t="shared" si="4"/>
        <v>3004.7</v>
      </c>
    </row>
    <row r="26" spans="1:35">
      <c r="A26" s="3" t="s">
        <v>14</v>
      </c>
      <c r="B26" s="3">
        <v>2013</v>
      </c>
      <c r="C26" s="3" t="s">
        <v>33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68">
        <f t="shared" si="0"/>
        <v>1488.5</v>
      </c>
      <c r="R26" s="3">
        <v>111.7</v>
      </c>
      <c r="S26" s="3">
        <v>112.7</v>
      </c>
      <c r="T26" s="3">
        <v>111.4</v>
      </c>
      <c r="U26" s="3">
        <v>112.5</v>
      </c>
      <c r="V26" s="69">
        <f t="shared" si="1"/>
        <v>336.6</v>
      </c>
      <c r="W26" s="75">
        <v>109.7</v>
      </c>
      <c r="X26" s="3">
        <v>109.6</v>
      </c>
      <c r="Y26" s="3">
        <v>111.1</v>
      </c>
      <c r="Z26" s="3">
        <f t="shared" si="2"/>
        <v>330.4</v>
      </c>
      <c r="AA26" s="3">
        <v>109.3</v>
      </c>
      <c r="AB26" s="3">
        <v>106.7</v>
      </c>
      <c r="AC26" s="3">
        <v>108.3</v>
      </c>
      <c r="AD26" s="68">
        <f t="shared" si="3"/>
        <v>215</v>
      </c>
      <c r="AE26" s="3">
        <v>109.8</v>
      </c>
      <c r="AF26" s="3">
        <v>107.7</v>
      </c>
      <c r="AG26" s="3">
        <v>108.7</v>
      </c>
      <c r="AH26" s="3">
        <v>114.2</v>
      </c>
      <c r="AI26" s="3">
        <f t="shared" si="4"/>
        <v>3031.9</v>
      </c>
    </row>
    <row r="27" spans="1:35">
      <c r="A27" s="3" t="s">
        <v>16</v>
      </c>
      <c r="B27" s="3">
        <v>2013</v>
      </c>
      <c r="C27" s="3" t="s">
        <v>33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68">
        <f t="shared" si="0"/>
        <v>1500.4</v>
      </c>
      <c r="R27" s="3">
        <v>112.9</v>
      </c>
      <c r="S27" s="3">
        <v>111.4</v>
      </c>
      <c r="T27" s="3">
        <v>109</v>
      </c>
      <c r="U27" s="3">
        <v>111.1</v>
      </c>
      <c r="V27" s="69">
        <f t="shared" si="1"/>
        <v>331.5</v>
      </c>
      <c r="W27" s="3">
        <v>109.7</v>
      </c>
      <c r="X27" s="3">
        <v>109.6</v>
      </c>
      <c r="Y27" s="3">
        <v>109.5</v>
      </c>
      <c r="Z27" s="3">
        <f t="shared" si="2"/>
        <v>328.8</v>
      </c>
      <c r="AA27" s="3">
        <v>110.4</v>
      </c>
      <c r="AB27" s="3">
        <v>106.9</v>
      </c>
      <c r="AC27" s="3">
        <v>107.9</v>
      </c>
      <c r="AD27" s="68">
        <f t="shared" si="3"/>
        <v>214.8</v>
      </c>
      <c r="AE27" s="3">
        <v>111.2</v>
      </c>
      <c r="AF27" s="3">
        <v>107.4</v>
      </c>
      <c r="AG27" s="3">
        <v>109.4</v>
      </c>
      <c r="AH27" s="3">
        <v>113.2</v>
      </c>
      <c r="AI27" s="3">
        <f t="shared" si="4"/>
        <v>3040</v>
      </c>
    </row>
    <row r="28" spans="1:35">
      <c r="A28" s="3" t="s">
        <v>17</v>
      </c>
      <c r="B28" s="3">
        <v>2013</v>
      </c>
      <c r="C28" s="3" t="s">
        <v>33</v>
      </c>
      <c r="D28" s="3">
        <v>116.4</v>
      </c>
      <c r="E28" s="3">
        <v>116.9</v>
      </c>
      <c r="F28" s="3">
        <v>112.3</v>
      </c>
      <c r="G28" s="3">
        <v>110.5</v>
      </c>
      <c r="H28" s="3">
        <v>105.3</v>
      </c>
      <c r="I28" s="3">
        <v>107.3</v>
      </c>
      <c r="J28" s="3">
        <v>160.9</v>
      </c>
      <c r="K28" s="3">
        <v>107.1</v>
      </c>
      <c r="L28" s="3">
        <v>103.1</v>
      </c>
      <c r="M28" s="3">
        <v>108.3</v>
      </c>
      <c r="N28" s="3">
        <v>110.7</v>
      </c>
      <c r="O28" s="3">
        <v>114.6</v>
      </c>
      <c r="P28" s="3">
        <v>118.3</v>
      </c>
      <c r="Q28" s="68">
        <f t="shared" si="0"/>
        <v>1491.7</v>
      </c>
      <c r="R28" s="3">
        <v>112</v>
      </c>
      <c r="S28" s="3">
        <v>112.2</v>
      </c>
      <c r="T28" s="3">
        <v>110.4</v>
      </c>
      <c r="U28" s="3">
        <v>111.9</v>
      </c>
      <c r="V28" s="69">
        <f t="shared" si="1"/>
        <v>334.5</v>
      </c>
      <c r="W28" s="3">
        <v>109.7</v>
      </c>
      <c r="X28" s="3">
        <v>109.6</v>
      </c>
      <c r="Y28" s="3">
        <v>110.5</v>
      </c>
      <c r="Z28" s="3">
        <f t="shared" si="2"/>
        <v>329.8</v>
      </c>
      <c r="AA28" s="3">
        <v>109.9</v>
      </c>
      <c r="AB28" s="3">
        <v>106.8</v>
      </c>
      <c r="AC28" s="3">
        <v>108.1</v>
      </c>
      <c r="AD28" s="68">
        <f t="shared" si="3"/>
        <v>214.9</v>
      </c>
      <c r="AE28" s="3">
        <v>110.6</v>
      </c>
      <c r="AF28" s="3">
        <v>107.5</v>
      </c>
      <c r="AG28" s="3">
        <v>109</v>
      </c>
      <c r="AH28" s="3">
        <v>113.7</v>
      </c>
      <c r="AI28" s="3">
        <f t="shared" si="4"/>
        <v>3033.6</v>
      </c>
    </row>
    <row r="29" spans="1:35">
      <c r="A29" s="3" t="s">
        <v>14</v>
      </c>
      <c r="B29" s="3">
        <v>2013</v>
      </c>
      <c r="C29" s="3" t="s">
        <v>34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68">
        <f t="shared" si="0"/>
        <v>1508</v>
      </c>
      <c r="R29" s="3">
        <v>112.2</v>
      </c>
      <c r="S29" s="3">
        <v>113.6</v>
      </c>
      <c r="T29" s="3">
        <v>112.3</v>
      </c>
      <c r="U29" s="3">
        <v>113.4</v>
      </c>
      <c r="V29" s="69">
        <f t="shared" si="1"/>
        <v>339.3</v>
      </c>
      <c r="W29" s="75">
        <v>110.5</v>
      </c>
      <c r="X29" s="3">
        <v>110.4</v>
      </c>
      <c r="Y29" s="3">
        <v>111.6</v>
      </c>
      <c r="Z29" s="3">
        <f t="shared" si="2"/>
        <v>332.5</v>
      </c>
      <c r="AA29" s="3">
        <v>109.3</v>
      </c>
      <c r="AB29" s="3">
        <v>107.5</v>
      </c>
      <c r="AC29" s="3">
        <v>108.9</v>
      </c>
      <c r="AD29" s="68">
        <f t="shared" si="3"/>
        <v>216.4</v>
      </c>
      <c r="AE29" s="3">
        <v>110.2</v>
      </c>
      <c r="AF29" s="3">
        <v>108.3</v>
      </c>
      <c r="AG29" s="3">
        <v>109.1</v>
      </c>
      <c r="AH29" s="3">
        <v>115.5</v>
      </c>
      <c r="AI29" s="3">
        <f t="shared" si="4"/>
        <v>3060.8</v>
      </c>
    </row>
    <row r="30" spans="1:35">
      <c r="A30" s="3" t="s">
        <v>16</v>
      </c>
      <c r="B30" s="3">
        <v>2013</v>
      </c>
      <c r="C30" s="3" t="s">
        <v>34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68">
        <f t="shared" si="0"/>
        <v>1517.2</v>
      </c>
      <c r="R30" s="3">
        <v>113.5</v>
      </c>
      <c r="S30" s="3">
        <v>112.5</v>
      </c>
      <c r="T30" s="3">
        <v>109.7</v>
      </c>
      <c r="U30" s="3">
        <v>112</v>
      </c>
      <c r="V30" s="69">
        <f t="shared" si="1"/>
        <v>334.2</v>
      </c>
      <c r="W30" s="3">
        <v>110.5</v>
      </c>
      <c r="X30" s="3">
        <v>110.2</v>
      </c>
      <c r="Y30" s="3">
        <v>109.7</v>
      </c>
      <c r="Z30" s="3">
        <f t="shared" si="2"/>
        <v>330.4</v>
      </c>
      <c r="AA30" s="3">
        <v>109.7</v>
      </c>
      <c r="AB30" s="3">
        <v>107.3</v>
      </c>
      <c r="AC30" s="3">
        <v>108.2</v>
      </c>
      <c r="AD30" s="68">
        <f t="shared" si="3"/>
        <v>215.5</v>
      </c>
      <c r="AE30" s="3">
        <v>111.3</v>
      </c>
      <c r="AF30" s="3">
        <v>108</v>
      </c>
      <c r="AG30" s="3">
        <v>109.4</v>
      </c>
      <c r="AH30" s="3">
        <v>114</v>
      </c>
      <c r="AI30" s="3">
        <f t="shared" si="4"/>
        <v>3063.2</v>
      </c>
    </row>
    <row r="31" spans="1:35">
      <c r="A31" s="3" t="s">
        <v>17</v>
      </c>
      <c r="B31" s="3">
        <v>2013</v>
      </c>
      <c r="C31" s="3" t="s">
        <v>34</v>
      </c>
      <c r="D31" s="3">
        <v>117.1</v>
      </c>
      <c r="E31" s="3">
        <v>116.3</v>
      </c>
      <c r="F31" s="3">
        <v>113.3</v>
      </c>
      <c r="G31" s="3">
        <v>111.2</v>
      </c>
      <c r="H31" s="3">
        <v>105.7</v>
      </c>
      <c r="I31" s="3">
        <v>109.9</v>
      </c>
      <c r="J31" s="3">
        <v>171.2</v>
      </c>
      <c r="K31" s="3">
        <v>107.3</v>
      </c>
      <c r="L31" s="3">
        <v>102.7</v>
      </c>
      <c r="M31" s="3">
        <v>108.7</v>
      </c>
      <c r="N31" s="3">
        <v>111.2</v>
      </c>
      <c r="O31" s="3">
        <v>115.4</v>
      </c>
      <c r="P31" s="3">
        <v>120.2</v>
      </c>
      <c r="Q31" s="68">
        <f t="shared" si="0"/>
        <v>1510.2</v>
      </c>
      <c r="R31" s="3">
        <v>112.5</v>
      </c>
      <c r="S31" s="3">
        <v>113.2</v>
      </c>
      <c r="T31" s="3">
        <v>111.2</v>
      </c>
      <c r="U31" s="3">
        <v>112.8</v>
      </c>
      <c r="V31" s="69">
        <f t="shared" si="1"/>
        <v>337.2</v>
      </c>
      <c r="W31" s="3">
        <v>110.5</v>
      </c>
      <c r="X31" s="3">
        <v>110.3</v>
      </c>
      <c r="Y31" s="3">
        <v>110.9</v>
      </c>
      <c r="Z31" s="3">
        <f t="shared" si="2"/>
        <v>331.7</v>
      </c>
      <c r="AA31" s="3">
        <v>109.5</v>
      </c>
      <c r="AB31" s="3">
        <v>107.4</v>
      </c>
      <c r="AC31" s="3">
        <v>108.6</v>
      </c>
      <c r="AD31" s="68">
        <f t="shared" si="3"/>
        <v>216</v>
      </c>
      <c r="AE31" s="3">
        <v>110.8</v>
      </c>
      <c r="AF31" s="3">
        <v>108.1</v>
      </c>
      <c r="AG31" s="3">
        <v>109.2</v>
      </c>
      <c r="AH31" s="3">
        <v>114.8</v>
      </c>
      <c r="AI31" s="3">
        <f t="shared" si="4"/>
        <v>3060</v>
      </c>
    </row>
    <row r="32" spans="1:35">
      <c r="A32" s="3" t="s">
        <v>14</v>
      </c>
      <c r="B32" s="3">
        <v>2013</v>
      </c>
      <c r="C32" s="3" t="s">
        <v>35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68">
        <f t="shared" si="0"/>
        <v>1536.8</v>
      </c>
      <c r="R32" s="3">
        <v>112.8</v>
      </c>
      <c r="S32" s="3">
        <v>114.6</v>
      </c>
      <c r="T32" s="3">
        <v>113.1</v>
      </c>
      <c r="U32" s="3">
        <v>114.4</v>
      </c>
      <c r="V32" s="69">
        <f t="shared" si="1"/>
        <v>342.1</v>
      </c>
      <c r="W32" s="75">
        <v>111.1</v>
      </c>
      <c r="X32" s="3">
        <v>111.3</v>
      </c>
      <c r="Y32" s="3">
        <v>112.6</v>
      </c>
      <c r="Z32" s="3">
        <f t="shared" si="2"/>
        <v>335</v>
      </c>
      <c r="AA32" s="3">
        <v>109.6</v>
      </c>
      <c r="AB32" s="3">
        <v>108.2</v>
      </c>
      <c r="AC32" s="3">
        <v>109.7</v>
      </c>
      <c r="AD32" s="68">
        <f t="shared" si="3"/>
        <v>217.9</v>
      </c>
      <c r="AE32" s="3">
        <v>111</v>
      </c>
      <c r="AF32" s="3">
        <v>108.7</v>
      </c>
      <c r="AG32" s="3">
        <v>109.8</v>
      </c>
      <c r="AH32" s="3">
        <v>117.4</v>
      </c>
      <c r="AI32" s="3">
        <f t="shared" si="4"/>
        <v>3101.1</v>
      </c>
    </row>
    <row r="33" spans="1:35">
      <c r="A33" s="3" t="s">
        <v>16</v>
      </c>
      <c r="B33" s="3">
        <v>2013</v>
      </c>
      <c r="C33" s="3" t="s">
        <v>36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68">
        <f t="shared" si="0"/>
        <v>1544.6</v>
      </c>
      <c r="R33" s="3">
        <v>114.1</v>
      </c>
      <c r="S33" s="3">
        <v>113.5</v>
      </c>
      <c r="T33" s="3">
        <v>110.3</v>
      </c>
      <c r="U33" s="3">
        <v>113</v>
      </c>
      <c r="V33" s="69">
        <f t="shared" si="1"/>
        <v>336.8</v>
      </c>
      <c r="W33" s="3">
        <v>111.1</v>
      </c>
      <c r="X33" s="3">
        <v>110.9</v>
      </c>
      <c r="Y33" s="3">
        <v>110</v>
      </c>
      <c r="Z33" s="3">
        <f t="shared" si="2"/>
        <v>332</v>
      </c>
      <c r="AA33" s="3">
        <v>109.5</v>
      </c>
      <c r="AB33" s="3">
        <v>107.9</v>
      </c>
      <c r="AC33" s="3">
        <v>108.6</v>
      </c>
      <c r="AD33" s="68">
        <f t="shared" si="3"/>
        <v>216.5</v>
      </c>
      <c r="AE33" s="3">
        <v>111.3</v>
      </c>
      <c r="AF33" s="3">
        <v>108.5</v>
      </c>
      <c r="AG33" s="3">
        <v>109.6</v>
      </c>
      <c r="AH33" s="3">
        <v>115</v>
      </c>
      <c r="AI33" s="3">
        <f t="shared" si="4"/>
        <v>3097.9</v>
      </c>
    </row>
    <row r="34" spans="1:35">
      <c r="A34" s="3" t="s">
        <v>17</v>
      </c>
      <c r="B34" s="3">
        <v>2013</v>
      </c>
      <c r="C34" s="3" t="s">
        <v>36</v>
      </c>
      <c r="D34" s="3">
        <v>118.1</v>
      </c>
      <c r="E34" s="3">
        <v>115.4</v>
      </c>
      <c r="F34" s="3">
        <v>118.7</v>
      </c>
      <c r="G34" s="3">
        <v>112.5</v>
      </c>
      <c r="H34" s="3">
        <v>106.8</v>
      </c>
      <c r="I34" s="3">
        <v>113.5</v>
      </c>
      <c r="J34" s="3">
        <v>183.1</v>
      </c>
      <c r="K34" s="3">
        <v>108.2</v>
      </c>
      <c r="L34" s="3">
        <v>102.2</v>
      </c>
      <c r="M34" s="3">
        <v>109.4</v>
      </c>
      <c r="N34" s="3">
        <v>111.8</v>
      </c>
      <c r="O34" s="3">
        <v>116.5</v>
      </c>
      <c r="P34" s="3">
        <v>122.6</v>
      </c>
      <c r="Q34" s="68">
        <f t="shared" si="0"/>
        <v>1538.8</v>
      </c>
      <c r="R34" s="3">
        <v>113.1</v>
      </c>
      <c r="S34" s="3">
        <v>114.2</v>
      </c>
      <c r="T34" s="3">
        <v>111.9</v>
      </c>
      <c r="U34" s="3">
        <v>113.8</v>
      </c>
      <c r="V34" s="69">
        <f t="shared" si="1"/>
        <v>339.9</v>
      </c>
      <c r="W34" s="3">
        <v>111.1</v>
      </c>
      <c r="X34" s="3">
        <v>111.1</v>
      </c>
      <c r="Y34" s="3">
        <v>111.6</v>
      </c>
      <c r="Z34" s="3">
        <f t="shared" si="2"/>
        <v>333.8</v>
      </c>
      <c r="AA34" s="3">
        <v>109.5</v>
      </c>
      <c r="AB34" s="3">
        <v>108.1</v>
      </c>
      <c r="AC34" s="3">
        <v>109.3</v>
      </c>
      <c r="AD34" s="68">
        <f t="shared" si="3"/>
        <v>217.4</v>
      </c>
      <c r="AE34" s="3">
        <v>111.2</v>
      </c>
      <c r="AF34" s="3">
        <v>108.6</v>
      </c>
      <c r="AG34" s="3">
        <v>109.7</v>
      </c>
      <c r="AH34" s="3">
        <v>116.3</v>
      </c>
      <c r="AI34" s="3">
        <f t="shared" si="4"/>
        <v>3098.3</v>
      </c>
    </row>
    <row r="35" spans="1:35">
      <c r="A35" s="3" t="s">
        <v>14</v>
      </c>
      <c r="B35" s="3">
        <v>2013</v>
      </c>
      <c r="C35" s="3" t="s">
        <v>37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145.7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68">
        <f t="shared" si="0"/>
        <v>1509</v>
      </c>
      <c r="R35" s="3">
        <v>113.6</v>
      </c>
      <c r="S35" s="3">
        <v>115.8</v>
      </c>
      <c r="T35" s="3">
        <v>114</v>
      </c>
      <c r="U35" s="3">
        <v>115.5</v>
      </c>
      <c r="V35" s="69">
        <f t="shared" si="1"/>
        <v>345.3</v>
      </c>
      <c r="W35" s="75">
        <v>110.7</v>
      </c>
      <c r="X35" s="3">
        <v>112.1</v>
      </c>
      <c r="Y35" s="3">
        <v>112.8</v>
      </c>
      <c r="Z35" s="3">
        <f t="shared" si="2"/>
        <v>335.6</v>
      </c>
      <c r="AA35" s="3">
        <v>109.9</v>
      </c>
      <c r="AB35" s="3">
        <v>108.1</v>
      </c>
      <c r="AC35" s="3">
        <v>110.1</v>
      </c>
      <c r="AD35" s="68">
        <f t="shared" si="3"/>
        <v>218.2</v>
      </c>
      <c r="AE35" s="3">
        <v>111.6</v>
      </c>
      <c r="AF35" s="3">
        <v>109.2</v>
      </c>
      <c r="AG35" s="3">
        <v>110.1</v>
      </c>
      <c r="AH35" s="3">
        <v>115.5</v>
      </c>
      <c r="AI35" s="3">
        <f t="shared" si="4"/>
        <v>3078</v>
      </c>
    </row>
    <row r="36" spans="1:35">
      <c r="A36" s="3" t="s">
        <v>16</v>
      </c>
      <c r="B36" s="3">
        <v>2013</v>
      </c>
      <c r="C36" s="3" t="s">
        <v>37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68">
        <f t="shared" si="0"/>
        <v>1504.4</v>
      </c>
      <c r="R36" s="3">
        <v>115</v>
      </c>
      <c r="S36" s="3">
        <v>114.2</v>
      </c>
      <c r="T36" s="3">
        <v>110.9</v>
      </c>
      <c r="U36" s="3">
        <v>113.7</v>
      </c>
      <c r="V36" s="69">
        <f t="shared" si="1"/>
        <v>338.8</v>
      </c>
      <c r="W36" s="3">
        <v>110.7</v>
      </c>
      <c r="X36" s="3">
        <v>111.3</v>
      </c>
      <c r="Y36" s="3">
        <v>110.4</v>
      </c>
      <c r="Z36" s="3">
        <f t="shared" si="2"/>
        <v>332.4</v>
      </c>
      <c r="AA36" s="3">
        <v>109.7</v>
      </c>
      <c r="AB36" s="3">
        <v>107.7</v>
      </c>
      <c r="AC36" s="3">
        <v>109</v>
      </c>
      <c r="AD36" s="68">
        <f t="shared" si="3"/>
        <v>216.7</v>
      </c>
      <c r="AE36" s="3">
        <v>111.4</v>
      </c>
      <c r="AF36" s="3">
        <v>108.9</v>
      </c>
      <c r="AG36" s="3">
        <v>109.8</v>
      </c>
      <c r="AH36" s="3">
        <v>113.3</v>
      </c>
      <c r="AI36" s="3">
        <f t="shared" si="4"/>
        <v>3060.4</v>
      </c>
    </row>
    <row r="37" spans="1:35">
      <c r="A37" s="3" t="s">
        <v>17</v>
      </c>
      <c r="B37" s="3">
        <v>2013</v>
      </c>
      <c r="C37" s="3" t="s">
        <v>37</v>
      </c>
      <c r="D37" s="3">
        <v>119.1</v>
      </c>
      <c r="E37" s="3">
        <v>116.7</v>
      </c>
      <c r="F37" s="3">
        <v>123.5</v>
      </c>
      <c r="G37" s="3">
        <v>113.4</v>
      </c>
      <c r="H37" s="3">
        <v>107.3</v>
      </c>
      <c r="I37" s="3">
        <v>113.3</v>
      </c>
      <c r="J37" s="3">
        <v>145.4</v>
      </c>
      <c r="K37" s="3">
        <v>108.7</v>
      </c>
      <c r="L37" s="3">
        <v>101.5</v>
      </c>
      <c r="M37" s="3">
        <v>110.5</v>
      </c>
      <c r="N37" s="3">
        <v>112.1</v>
      </c>
      <c r="O37" s="3">
        <v>117.4</v>
      </c>
      <c r="P37" s="3">
        <v>118.4</v>
      </c>
      <c r="Q37" s="68">
        <f t="shared" si="0"/>
        <v>1507.3</v>
      </c>
      <c r="R37" s="3">
        <v>114</v>
      </c>
      <c r="S37" s="3">
        <v>115.2</v>
      </c>
      <c r="T37" s="3">
        <v>112.7</v>
      </c>
      <c r="U37" s="3">
        <v>114.8</v>
      </c>
      <c r="V37" s="69">
        <f t="shared" si="1"/>
        <v>342.7</v>
      </c>
      <c r="W37" s="3">
        <v>110.7</v>
      </c>
      <c r="X37" s="3">
        <v>111.7</v>
      </c>
      <c r="Y37" s="3">
        <v>111.9</v>
      </c>
      <c r="Z37" s="3">
        <f t="shared" si="2"/>
        <v>334.3</v>
      </c>
      <c r="AA37" s="3">
        <v>109.8</v>
      </c>
      <c r="AB37" s="3">
        <v>107.9</v>
      </c>
      <c r="AC37" s="3">
        <v>109.7</v>
      </c>
      <c r="AD37" s="68">
        <f t="shared" si="3"/>
        <v>217.6</v>
      </c>
      <c r="AE37" s="3">
        <v>111.5</v>
      </c>
      <c r="AF37" s="3">
        <v>109</v>
      </c>
      <c r="AG37" s="3">
        <v>110</v>
      </c>
      <c r="AH37" s="3">
        <v>114.5</v>
      </c>
      <c r="AI37" s="3">
        <f t="shared" si="4"/>
        <v>3070.7</v>
      </c>
    </row>
    <row r="38" spans="1:35">
      <c r="A38" s="3" t="s">
        <v>14</v>
      </c>
      <c r="B38" s="3">
        <v>2014</v>
      </c>
      <c r="C38" s="3" t="s">
        <v>19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68">
        <f t="shared" si="0"/>
        <v>1486.6</v>
      </c>
      <c r="R38" s="3">
        <v>114</v>
      </c>
      <c r="S38" s="3">
        <v>116.5</v>
      </c>
      <c r="T38" s="3">
        <v>114.5</v>
      </c>
      <c r="U38" s="3">
        <v>116.2</v>
      </c>
      <c r="V38" s="69">
        <f t="shared" si="1"/>
        <v>347.2</v>
      </c>
      <c r="W38" s="75">
        <v>111.6</v>
      </c>
      <c r="X38" s="3">
        <v>112.6</v>
      </c>
      <c r="Y38" s="3">
        <v>113</v>
      </c>
      <c r="Z38" s="3">
        <f t="shared" si="2"/>
        <v>337.2</v>
      </c>
      <c r="AA38" s="3">
        <v>110.5</v>
      </c>
      <c r="AB38" s="3">
        <v>108.3</v>
      </c>
      <c r="AC38" s="3">
        <v>110.6</v>
      </c>
      <c r="AD38" s="68">
        <f t="shared" si="3"/>
        <v>218.9</v>
      </c>
      <c r="AE38" s="3">
        <v>111.8</v>
      </c>
      <c r="AF38" s="3">
        <v>109.6</v>
      </c>
      <c r="AG38" s="3">
        <v>110.6</v>
      </c>
      <c r="AH38" s="3">
        <v>114.2</v>
      </c>
      <c r="AI38" s="3">
        <f t="shared" si="4"/>
        <v>3060.6</v>
      </c>
    </row>
    <row r="39" spans="1:35">
      <c r="A39" s="3" t="s">
        <v>16</v>
      </c>
      <c r="B39" s="3">
        <v>2014</v>
      </c>
      <c r="C39" s="3" t="s">
        <v>19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68">
        <f t="shared" si="0"/>
        <v>1484.3</v>
      </c>
      <c r="R39" s="3">
        <v>115.7</v>
      </c>
      <c r="S39" s="3">
        <v>114.8</v>
      </c>
      <c r="T39" s="3">
        <v>111.3</v>
      </c>
      <c r="U39" s="3">
        <v>114.3</v>
      </c>
      <c r="V39" s="69">
        <f t="shared" si="1"/>
        <v>340.4</v>
      </c>
      <c r="W39" s="3">
        <v>111.6</v>
      </c>
      <c r="X39" s="3">
        <v>111.9</v>
      </c>
      <c r="Y39" s="3">
        <v>111</v>
      </c>
      <c r="Z39" s="3">
        <f t="shared" si="2"/>
        <v>334.5</v>
      </c>
      <c r="AA39" s="3">
        <v>110.8</v>
      </c>
      <c r="AB39" s="3">
        <v>108</v>
      </c>
      <c r="AC39" s="3">
        <v>109.7</v>
      </c>
      <c r="AD39" s="68">
        <f t="shared" si="3"/>
        <v>217.7</v>
      </c>
      <c r="AE39" s="3">
        <v>111.5</v>
      </c>
      <c r="AF39" s="3">
        <v>109.8</v>
      </c>
      <c r="AG39" s="3">
        <v>110.5</v>
      </c>
      <c r="AH39" s="3">
        <v>112.9</v>
      </c>
      <c r="AI39" s="3">
        <f t="shared" si="4"/>
        <v>3048.1</v>
      </c>
    </row>
    <row r="40" spans="1:35">
      <c r="A40" s="3" t="s">
        <v>17</v>
      </c>
      <c r="B40" s="3">
        <v>2014</v>
      </c>
      <c r="C40" s="3" t="s">
        <v>19</v>
      </c>
      <c r="D40" s="3">
        <v>119.6</v>
      </c>
      <c r="E40" s="3">
        <v>118.8</v>
      </c>
      <c r="F40" s="3">
        <v>124.1</v>
      </c>
      <c r="G40" s="3">
        <v>114.1</v>
      </c>
      <c r="H40" s="3">
        <v>106.8</v>
      </c>
      <c r="I40" s="3">
        <v>113.9</v>
      </c>
      <c r="J40" s="3">
        <v>122.2</v>
      </c>
      <c r="K40" s="3">
        <v>108.9</v>
      </c>
      <c r="L40" s="3">
        <v>100.2</v>
      </c>
      <c r="M40" s="3">
        <v>111</v>
      </c>
      <c r="N40" s="3">
        <v>112.3</v>
      </c>
      <c r="O40" s="3">
        <v>118.1</v>
      </c>
      <c r="P40" s="3">
        <v>115.8</v>
      </c>
      <c r="Q40" s="68">
        <f t="shared" si="0"/>
        <v>1485.8</v>
      </c>
      <c r="R40" s="3">
        <v>114.5</v>
      </c>
      <c r="S40" s="3">
        <v>115.8</v>
      </c>
      <c r="T40" s="3">
        <v>113.2</v>
      </c>
      <c r="U40" s="3">
        <v>115.4</v>
      </c>
      <c r="V40" s="69">
        <f t="shared" si="1"/>
        <v>344.4</v>
      </c>
      <c r="W40" s="3">
        <v>111.6</v>
      </c>
      <c r="X40" s="3">
        <v>112.3</v>
      </c>
      <c r="Y40" s="3">
        <v>112.2</v>
      </c>
      <c r="Z40" s="3">
        <f t="shared" si="2"/>
        <v>336.1</v>
      </c>
      <c r="AA40" s="3">
        <v>110.7</v>
      </c>
      <c r="AB40" s="3">
        <v>108.2</v>
      </c>
      <c r="AC40" s="3">
        <v>110.3</v>
      </c>
      <c r="AD40" s="68">
        <f t="shared" si="3"/>
        <v>218.5</v>
      </c>
      <c r="AE40" s="3">
        <v>111.6</v>
      </c>
      <c r="AF40" s="3">
        <v>109.7</v>
      </c>
      <c r="AG40" s="3">
        <v>110.6</v>
      </c>
      <c r="AH40" s="3">
        <v>113.6</v>
      </c>
      <c r="AI40" s="3">
        <f t="shared" si="4"/>
        <v>3055.5</v>
      </c>
    </row>
    <row r="41" spans="1:35">
      <c r="A41" s="3" t="s">
        <v>14</v>
      </c>
      <c r="B41" s="3">
        <v>2014</v>
      </c>
      <c r="C41" s="3" t="s">
        <v>20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68">
        <f t="shared" si="0"/>
        <v>1482.2</v>
      </c>
      <c r="R41" s="3">
        <v>114.2</v>
      </c>
      <c r="S41" s="3">
        <v>117.1</v>
      </c>
      <c r="T41" s="3">
        <v>114.5</v>
      </c>
      <c r="U41" s="3">
        <v>116.7</v>
      </c>
      <c r="V41" s="69">
        <f t="shared" si="1"/>
        <v>348.3</v>
      </c>
      <c r="W41" s="75">
        <v>112.5</v>
      </c>
      <c r="X41" s="3">
        <v>112.9</v>
      </c>
      <c r="Y41" s="3">
        <v>113.2</v>
      </c>
      <c r="Z41" s="3">
        <f t="shared" si="2"/>
        <v>338.6</v>
      </c>
      <c r="AA41" s="3">
        <v>110.8</v>
      </c>
      <c r="AB41" s="3">
        <v>108.7</v>
      </c>
      <c r="AC41" s="3">
        <v>110.9</v>
      </c>
      <c r="AD41" s="68">
        <f t="shared" si="3"/>
        <v>219.6</v>
      </c>
      <c r="AE41" s="3">
        <v>112</v>
      </c>
      <c r="AF41" s="3">
        <v>109.9</v>
      </c>
      <c r="AG41" s="3">
        <v>110.9</v>
      </c>
      <c r="AH41" s="3">
        <v>114</v>
      </c>
      <c r="AI41" s="3">
        <f t="shared" si="4"/>
        <v>3060.5</v>
      </c>
    </row>
    <row r="42" spans="1:35">
      <c r="A42" s="3" t="s">
        <v>16</v>
      </c>
      <c r="B42" s="3">
        <v>2014</v>
      </c>
      <c r="C42" s="3" t="s">
        <v>20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68">
        <f t="shared" si="0"/>
        <v>1476</v>
      </c>
      <c r="R42" s="3">
        <v>116.2</v>
      </c>
      <c r="S42" s="3">
        <v>115.3</v>
      </c>
      <c r="T42" s="3">
        <v>111.7</v>
      </c>
      <c r="U42" s="3">
        <v>114.7</v>
      </c>
      <c r="V42" s="69">
        <f t="shared" si="1"/>
        <v>341.7</v>
      </c>
      <c r="W42" s="3">
        <v>112.5</v>
      </c>
      <c r="X42" s="3">
        <v>112.6</v>
      </c>
      <c r="Y42" s="3">
        <v>111.1</v>
      </c>
      <c r="Z42" s="3">
        <f t="shared" si="2"/>
        <v>336.2</v>
      </c>
      <c r="AA42" s="3">
        <v>111.3</v>
      </c>
      <c r="AB42" s="3">
        <v>108.7</v>
      </c>
      <c r="AC42" s="3">
        <v>110.4</v>
      </c>
      <c r="AD42" s="68">
        <f t="shared" si="3"/>
        <v>219.1</v>
      </c>
      <c r="AE42" s="3">
        <v>111.6</v>
      </c>
      <c r="AF42" s="3">
        <v>110.3</v>
      </c>
      <c r="AG42" s="3">
        <v>111</v>
      </c>
      <c r="AH42" s="3">
        <v>113.1</v>
      </c>
      <c r="AI42" s="3">
        <f t="shared" si="4"/>
        <v>3046.5</v>
      </c>
    </row>
    <row r="43" spans="1:35">
      <c r="A43" s="3" t="s">
        <v>17</v>
      </c>
      <c r="B43" s="3">
        <v>2014</v>
      </c>
      <c r="C43" s="3" t="s">
        <v>20</v>
      </c>
      <c r="D43" s="3">
        <v>120.2</v>
      </c>
      <c r="E43" s="3">
        <v>119.2</v>
      </c>
      <c r="F43" s="3">
        <v>122.5</v>
      </c>
      <c r="G43" s="3">
        <v>115.1</v>
      </c>
      <c r="H43" s="3">
        <v>106.6</v>
      </c>
      <c r="I43" s="3">
        <v>115.4</v>
      </c>
      <c r="J43" s="3">
        <v>114.5</v>
      </c>
      <c r="K43" s="3">
        <v>109.3</v>
      </c>
      <c r="L43" s="3">
        <v>99.2</v>
      </c>
      <c r="M43" s="3">
        <v>111.4</v>
      </c>
      <c r="N43" s="3">
        <v>112.6</v>
      </c>
      <c r="O43" s="3">
        <v>118.8</v>
      </c>
      <c r="P43" s="3">
        <v>115.3</v>
      </c>
      <c r="Q43" s="68">
        <f t="shared" si="0"/>
        <v>1480.1</v>
      </c>
      <c r="R43" s="3">
        <v>114.7</v>
      </c>
      <c r="S43" s="3">
        <v>116.4</v>
      </c>
      <c r="T43" s="3">
        <v>113.3</v>
      </c>
      <c r="U43" s="3">
        <v>115.9</v>
      </c>
      <c r="V43" s="69">
        <f t="shared" si="1"/>
        <v>345.6</v>
      </c>
      <c r="W43" s="3">
        <v>112.5</v>
      </c>
      <c r="X43" s="3">
        <v>112.8</v>
      </c>
      <c r="Y43" s="3">
        <v>112.4</v>
      </c>
      <c r="Z43" s="3">
        <f t="shared" si="2"/>
        <v>337.7</v>
      </c>
      <c r="AA43" s="3">
        <v>111.1</v>
      </c>
      <c r="AB43" s="3">
        <v>108.7</v>
      </c>
      <c r="AC43" s="3">
        <v>110.7</v>
      </c>
      <c r="AD43" s="68">
        <f t="shared" si="3"/>
        <v>219.4</v>
      </c>
      <c r="AE43" s="3">
        <v>111.8</v>
      </c>
      <c r="AF43" s="3">
        <v>110.1</v>
      </c>
      <c r="AG43" s="3">
        <v>110.9</v>
      </c>
      <c r="AH43" s="3">
        <v>113.6</v>
      </c>
      <c r="AI43" s="3">
        <f t="shared" si="4"/>
        <v>3055</v>
      </c>
    </row>
    <row r="44" spans="1:35">
      <c r="A44" s="3" t="s">
        <v>14</v>
      </c>
      <c r="B44" s="3">
        <v>2014</v>
      </c>
      <c r="C44" s="3" t="s">
        <v>26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68">
        <f t="shared" si="0"/>
        <v>1491.4</v>
      </c>
      <c r="R44" s="3">
        <v>114.6</v>
      </c>
      <c r="S44" s="3">
        <v>117.5</v>
      </c>
      <c r="T44" s="3">
        <v>114.9</v>
      </c>
      <c r="U44" s="3">
        <v>117.2</v>
      </c>
      <c r="V44" s="69">
        <f t="shared" si="1"/>
        <v>349.6</v>
      </c>
      <c r="W44" s="75">
        <v>113.2</v>
      </c>
      <c r="X44" s="3">
        <v>113.4</v>
      </c>
      <c r="Y44" s="3">
        <v>113.4</v>
      </c>
      <c r="Z44" s="3">
        <f t="shared" si="2"/>
        <v>340</v>
      </c>
      <c r="AA44" s="3">
        <v>111.2</v>
      </c>
      <c r="AB44" s="3">
        <v>108.9</v>
      </c>
      <c r="AC44" s="3">
        <v>111.4</v>
      </c>
      <c r="AD44" s="68">
        <f t="shared" si="3"/>
        <v>220.3</v>
      </c>
      <c r="AE44" s="3">
        <v>112.4</v>
      </c>
      <c r="AF44" s="3">
        <v>110.2</v>
      </c>
      <c r="AG44" s="3">
        <v>111.3</v>
      </c>
      <c r="AH44" s="3">
        <v>114.6</v>
      </c>
      <c r="AI44" s="3">
        <f t="shared" si="4"/>
        <v>3075.6</v>
      </c>
    </row>
    <row r="45" spans="1:35">
      <c r="A45" s="3" t="s">
        <v>16</v>
      </c>
      <c r="B45" s="3">
        <v>2014</v>
      </c>
      <c r="C45" s="3" t="s">
        <v>26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68">
        <f t="shared" si="0"/>
        <v>1483</v>
      </c>
      <c r="R45" s="3">
        <v>116.7</v>
      </c>
      <c r="S45" s="3">
        <v>115.8</v>
      </c>
      <c r="T45" s="3">
        <v>112.1</v>
      </c>
      <c r="U45" s="3">
        <v>115.2</v>
      </c>
      <c r="V45" s="69">
        <f t="shared" si="1"/>
        <v>343.1</v>
      </c>
      <c r="W45" s="3">
        <v>113.2</v>
      </c>
      <c r="X45" s="3">
        <v>113</v>
      </c>
      <c r="Y45" s="3">
        <v>110.9</v>
      </c>
      <c r="Z45" s="3">
        <f t="shared" si="2"/>
        <v>337.1</v>
      </c>
      <c r="AA45" s="3">
        <v>111.6</v>
      </c>
      <c r="AB45" s="3">
        <v>109.2</v>
      </c>
      <c r="AC45" s="3">
        <v>110.8</v>
      </c>
      <c r="AD45" s="68">
        <f t="shared" si="3"/>
        <v>220</v>
      </c>
      <c r="AE45" s="3">
        <v>111.8</v>
      </c>
      <c r="AF45" s="3">
        <v>110.9</v>
      </c>
      <c r="AG45" s="3">
        <v>111.4</v>
      </c>
      <c r="AH45" s="3">
        <v>113.7</v>
      </c>
      <c r="AI45" s="3">
        <f t="shared" si="4"/>
        <v>3059.3</v>
      </c>
    </row>
    <row r="46" spans="1:35">
      <c r="A46" s="3" t="s">
        <v>17</v>
      </c>
      <c r="B46" s="3">
        <v>2014</v>
      </c>
      <c r="C46" s="3" t="s">
        <v>26</v>
      </c>
      <c r="D46" s="3">
        <v>120.7</v>
      </c>
      <c r="E46" s="3">
        <v>119.3</v>
      </c>
      <c r="F46" s="3">
        <v>121</v>
      </c>
      <c r="G46" s="3">
        <v>116.1</v>
      </c>
      <c r="H46" s="3">
        <v>106.9</v>
      </c>
      <c r="I46" s="3">
        <v>118.7</v>
      </c>
      <c r="J46" s="3">
        <v>116.3</v>
      </c>
      <c r="K46" s="3">
        <v>109.8</v>
      </c>
      <c r="L46" s="3">
        <v>99.6</v>
      </c>
      <c r="M46" s="3">
        <v>111.8</v>
      </c>
      <c r="N46" s="3">
        <v>112.7</v>
      </c>
      <c r="O46" s="3">
        <v>119.3</v>
      </c>
      <c r="P46" s="3">
        <v>116.1</v>
      </c>
      <c r="Q46" s="68">
        <f t="shared" si="0"/>
        <v>1488.3</v>
      </c>
      <c r="R46" s="3">
        <v>115.2</v>
      </c>
      <c r="S46" s="3">
        <v>116.8</v>
      </c>
      <c r="T46" s="3">
        <v>113.7</v>
      </c>
      <c r="U46" s="3">
        <v>116.4</v>
      </c>
      <c r="V46" s="69">
        <f t="shared" si="1"/>
        <v>346.9</v>
      </c>
      <c r="W46" s="3">
        <v>113.2</v>
      </c>
      <c r="X46" s="3">
        <v>113.2</v>
      </c>
      <c r="Y46" s="3">
        <v>112.5</v>
      </c>
      <c r="Z46" s="3">
        <f t="shared" si="2"/>
        <v>338.9</v>
      </c>
      <c r="AA46" s="3">
        <v>111.4</v>
      </c>
      <c r="AB46" s="3">
        <v>109</v>
      </c>
      <c r="AC46" s="3">
        <v>111.2</v>
      </c>
      <c r="AD46" s="68">
        <f t="shared" si="3"/>
        <v>220.2</v>
      </c>
      <c r="AE46" s="3">
        <v>112</v>
      </c>
      <c r="AF46" s="3">
        <v>110.6</v>
      </c>
      <c r="AG46" s="3">
        <v>111.3</v>
      </c>
      <c r="AH46" s="3">
        <v>114.2</v>
      </c>
      <c r="AI46" s="3">
        <f t="shared" si="4"/>
        <v>3069</v>
      </c>
    </row>
    <row r="47" spans="1:35">
      <c r="A47" s="3" t="s">
        <v>14</v>
      </c>
      <c r="B47" s="3">
        <v>2014</v>
      </c>
      <c r="C47" s="3" t="s">
        <v>29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68">
        <f t="shared" si="0"/>
        <v>1504.1</v>
      </c>
      <c r="R47" s="3">
        <v>115.4</v>
      </c>
      <c r="S47" s="3">
        <v>118.1</v>
      </c>
      <c r="T47" s="3">
        <v>116.1</v>
      </c>
      <c r="U47" s="3">
        <v>117.8</v>
      </c>
      <c r="V47" s="69">
        <f t="shared" si="1"/>
        <v>352</v>
      </c>
      <c r="W47" s="75">
        <v>113.9</v>
      </c>
      <c r="X47" s="3">
        <v>113.7</v>
      </c>
      <c r="Y47" s="3">
        <v>113.4</v>
      </c>
      <c r="Z47" s="3">
        <f t="shared" si="2"/>
        <v>341</v>
      </c>
      <c r="AA47" s="3">
        <v>111.2</v>
      </c>
      <c r="AB47" s="3">
        <v>108.9</v>
      </c>
      <c r="AC47" s="3">
        <v>111.8</v>
      </c>
      <c r="AD47" s="68">
        <f t="shared" si="3"/>
        <v>220.7</v>
      </c>
      <c r="AE47" s="3">
        <v>113</v>
      </c>
      <c r="AF47" s="3">
        <v>110.5</v>
      </c>
      <c r="AG47" s="3">
        <v>111.5</v>
      </c>
      <c r="AH47" s="3">
        <v>115.4</v>
      </c>
      <c r="AI47" s="3">
        <f t="shared" si="4"/>
        <v>3094.8</v>
      </c>
    </row>
    <row r="48" spans="1:35">
      <c r="A48" s="3" t="s">
        <v>16</v>
      </c>
      <c r="B48" s="3">
        <v>2014</v>
      </c>
      <c r="C48" s="3" t="s">
        <v>29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68">
        <f t="shared" si="0"/>
        <v>1504</v>
      </c>
      <c r="R48" s="3">
        <v>117.6</v>
      </c>
      <c r="S48" s="3">
        <v>116.3</v>
      </c>
      <c r="T48" s="3">
        <v>112.5</v>
      </c>
      <c r="U48" s="3">
        <v>115.7</v>
      </c>
      <c r="V48" s="69">
        <f t="shared" si="1"/>
        <v>344.5</v>
      </c>
      <c r="W48" s="3">
        <v>113.9</v>
      </c>
      <c r="X48" s="3">
        <v>113.4</v>
      </c>
      <c r="Y48" s="3">
        <v>110.9</v>
      </c>
      <c r="Z48" s="3">
        <f t="shared" si="2"/>
        <v>338.2</v>
      </c>
      <c r="AA48" s="3">
        <v>111.2</v>
      </c>
      <c r="AB48" s="3">
        <v>109.1</v>
      </c>
      <c r="AC48" s="3">
        <v>111</v>
      </c>
      <c r="AD48" s="68">
        <f t="shared" si="3"/>
        <v>220.1</v>
      </c>
      <c r="AE48" s="3">
        <v>112.5</v>
      </c>
      <c r="AF48" s="3">
        <v>111.2</v>
      </c>
      <c r="AG48" s="3">
        <v>111.4</v>
      </c>
      <c r="AH48" s="3">
        <v>114.7</v>
      </c>
      <c r="AI48" s="3">
        <f t="shared" si="4"/>
        <v>3085.4</v>
      </c>
    </row>
    <row r="49" spans="1:35">
      <c r="A49" s="3" t="s">
        <v>17</v>
      </c>
      <c r="B49" s="3">
        <v>2014</v>
      </c>
      <c r="C49" s="3" t="s">
        <v>29</v>
      </c>
      <c r="D49" s="3">
        <v>120.9</v>
      </c>
      <c r="E49" s="3">
        <v>119.9</v>
      </c>
      <c r="F49" s="3">
        <v>116.2</v>
      </c>
      <c r="G49" s="3">
        <v>117</v>
      </c>
      <c r="H49" s="3">
        <v>107.3</v>
      </c>
      <c r="I49" s="3">
        <v>126.1</v>
      </c>
      <c r="J49" s="3">
        <v>120.7</v>
      </c>
      <c r="K49" s="3">
        <v>111</v>
      </c>
      <c r="L49" s="3">
        <v>101.8</v>
      </c>
      <c r="M49" s="3">
        <v>112.6</v>
      </c>
      <c r="N49" s="3">
        <v>113.2</v>
      </c>
      <c r="O49" s="3">
        <v>119.8</v>
      </c>
      <c r="P49" s="3">
        <v>117.6</v>
      </c>
      <c r="Q49" s="68">
        <f t="shared" si="0"/>
        <v>1504.1</v>
      </c>
      <c r="R49" s="3">
        <v>116</v>
      </c>
      <c r="S49" s="3">
        <v>117.4</v>
      </c>
      <c r="T49" s="3">
        <v>114.6</v>
      </c>
      <c r="U49" s="3">
        <v>117</v>
      </c>
      <c r="V49" s="69">
        <f t="shared" si="1"/>
        <v>349</v>
      </c>
      <c r="W49" s="3">
        <v>113.9</v>
      </c>
      <c r="X49" s="3">
        <v>113.6</v>
      </c>
      <c r="Y49" s="3">
        <v>112.5</v>
      </c>
      <c r="Z49" s="3">
        <f t="shared" si="2"/>
        <v>340</v>
      </c>
      <c r="AA49" s="3">
        <v>111.2</v>
      </c>
      <c r="AB49" s="3">
        <v>109</v>
      </c>
      <c r="AC49" s="3">
        <v>111.5</v>
      </c>
      <c r="AD49" s="68">
        <f t="shared" si="3"/>
        <v>220.5</v>
      </c>
      <c r="AE49" s="3">
        <v>112.7</v>
      </c>
      <c r="AF49" s="3">
        <v>110.9</v>
      </c>
      <c r="AG49" s="3">
        <v>111.5</v>
      </c>
      <c r="AH49" s="3">
        <v>115.1</v>
      </c>
      <c r="AI49" s="3">
        <f t="shared" si="4"/>
        <v>3091</v>
      </c>
    </row>
    <row r="50" spans="1:35">
      <c r="A50" s="3" t="s">
        <v>14</v>
      </c>
      <c r="B50" s="3">
        <v>2014</v>
      </c>
      <c r="C50" s="3" t="s">
        <v>15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68">
        <f t="shared" si="0"/>
        <v>1513.9</v>
      </c>
      <c r="R50" s="3">
        <v>116.3</v>
      </c>
      <c r="S50" s="3">
        <v>118.7</v>
      </c>
      <c r="T50" s="3">
        <v>116.8</v>
      </c>
      <c r="U50" s="3">
        <v>118.5</v>
      </c>
      <c r="V50" s="69">
        <f t="shared" si="1"/>
        <v>354</v>
      </c>
      <c r="W50" s="75">
        <v>114.3</v>
      </c>
      <c r="X50" s="3">
        <v>114.1</v>
      </c>
      <c r="Y50" s="3">
        <v>113.4</v>
      </c>
      <c r="Z50" s="3">
        <f t="shared" si="2"/>
        <v>341.8</v>
      </c>
      <c r="AA50" s="3">
        <v>111.4</v>
      </c>
      <c r="AB50" s="3">
        <v>108.9</v>
      </c>
      <c r="AC50" s="3">
        <v>112.1</v>
      </c>
      <c r="AD50" s="68">
        <f t="shared" si="3"/>
        <v>221</v>
      </c>
      <c r="AE50" s="3">
        <v>113.1</v>
      </c>
      <c r="AF50" s="3">
        <v>110.9</v>
      </c>
      <c r="AG50" s="3">
        <v>111.8</v>
      </c>
      <c r="AH50" s="3">
        <v>116</v>
      </c>
      <c r="AI50" s="3">
        <f t="shared" si="4"/>
        <v>3110.2</v>
      </c>
    </row>
    <row r="51" spans="1:35">
      <c r="A51" s="3" t="s">
        <v>16</v>
      </c>
      <c r="B51" s="3">
        <v>2014</v>
      </c>
      <c r="C51" s="3" t="s">
        <v>15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129.2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68">
        <f t="shared" si="0"/>
        <v>1525.3</v>
      </c>
      <c r="R51" s="3">
        <v>118.3</v>
      </c>
      <c r="S51" s="3">
        <v>116.8</v>
      </c>
      <c r="T51" s="3">
        <v>112.9</v>
      </c>
      <c r="U51" s="3">
        <v>116.2</v>
      </c>
      <c r="V51" s="69">
        <f t="shared" si="1"/>
        <v>345.9</v>
      </c>
      <c r="W51" s="3">
        <v>114.3</v>
      </c>
      <c r="X51" s="3">
        <v>114.1</v>
      </c>
      <c r="Y51" s="3">
        <v>111.1</v>
      </c>
      <c r="Z51" s="3">
        <f t="shared" si="2"/>
        <v>339.5</v>
      </c>
      <c r="AA51" s="3">
        <v>111.3</v>
      </c>
      <c r="AB51" s="3">
        <v>109.3</v>
      </c>
      <c r="AC51" s="3">
        <v>111.2</v>
      </c>
      <c r="AD51" s="68">
        <f t="shared" si="3"/>
        <v>220.5</v>
      </c>
      <c r="AE51" s="3">
        <v>112.9</v>
      </c>
      <c r="AF51" s="3">
        <v>111.5</v>
      </c>
      <c r="AG51" s="3">
        <v>111.7</v>
      </c>
      <c r="AH51" s="3">
        <v>115.6</v>
      </c>
      <c r="AI51" s="3">
        <f t="shared" si="4"/>
        <v>3112.5</v>
      </c>
    </row>
    <row r="52" spans="1:35">
      <c r="A52" s="3" t="s">
        <v>17</v>
      </c>
      <c r="B52" s="3">
        <v>2014</v>
      </c>
      <c r="C52" s="3" t="s">
        <v>15</v>
      </c>
      <c r="D52" s="3">
        <v>121.1</v>
      </c>
      <c r="E52" s="3">
        <v>121.6</v>
      </c>
      <c r="F52" s="3">
        <v>115.9</v>
      </c>
      <c r="G52" s="3">
        <v>118.4</v>
      </c>
      <c r="H52" s="3">
        <v>107.7</v>
      </c>
      <c r="I52" s="3">
        <v>127.7</v>
      </c>
      <c r="J52" s="3">
        <v>125</v>
      </c>
      <c r="K52" s="3">
        <v>111.9</v>
      </c>
      <c r="L52" s="3">
        <v>102.8</v>
      </c>
      <c r="M52" s="3">
        <v>113.4</v>
      </c>
      <c r="N52" s="3">
        <v>113.7</v>
      </c>
      <c r="O52" s="3">
        <v>120.4</v>
      </c>
      <c r="P52" s="3">
        <v>118.9</v>
      </c>
      <c r="Q52" s="68">
        <f t="shared" si="0"/>
        <v>1518.5</v>
      </c>
      <c r="R52" s="3">
        <v>116.8</v>
      </c>
      <c r="S52" s="3">
        <v>118</v>
      </c>
      <c r="T52" s="3">
        <v>115.2</v>
      </c>
      <c r="U52" s="3">
        <v>117.6</v>
      </c>
      <c r="V52" s="69">
        <f t="shared" si="1"/>
        <v>350.8</v>
      </c>
      <c r="W52" s="3">
        <v>114.3</v>
      </c>
      <c r="X52" s="3">
        <v>114.1</v>
      </c>
      <c r="Y52" s="3">
        <v>112.5</v>
      </c>
      <c r="Z52" s="3">
        <f t="shared" si="2"/>
        <v>340.9</v>
      </c>
      <c r="AA52" s="3">
        <v>111.3</v>
      </c>
      <c r="AB52" s="3">
        <v>109.1</v>
      </c>
      <c r="AC52" s="3">
        <v>111.8</v>
      </c>
      <c r="AD52" s="68">
        <f t="shared" si="3"/>
        <v>220.9</v>
      </c>
      <c r="AE52" s="3">
        <v>113</v>
      </c>
      <c r="AF52" s="3">
        <v>111.2</v>
      </c>
      <c r="AG52" s="3">
        <v>111.8</v>
      </c>
      <c r="AH52" s="3">
        <v>115.8</v>
      </c>
      <c r="AI52" s="3">
        <f t="shared" si="4"/>
        <v>3111</v>
      </c>
    </row>
    <row r="53" spans="1:35">
      <c r="A53" s="3" t="s">
        <v>14</v>
      </c>
      <c r="B53" s="3">
        <v>2014</v>
      </c>
      <c r="C53" s="3" t="s">
        <v>30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68">
        <f t="shared" si="0"/>
        <v>1525.7</v>
      </c>
      <c r="R53" s="3">
        <v>117.3</v>
      </c>
      <c r="S53" s="3">
        <v>119.7</v>
      </c>
      <c r="T53" s="3">
        <v>117.3</v>
      </c>
      <c r="U53" s="3">
        <v>119.3</v>
      </c>
      <c r="V53" s="69">
        <f t="shared" si="1"/>
        <v>356.3</v>
      </c>
      <c r="W53" s="75">
        <v>113.9</v>
      </c>
      <c r="X53" s="3">
        <v>114.9</v>
      </c>
      <c r="Y53" s="3">
        <v>114.4</v>
      </c>
      <c r="Z53" s="3">
        <f t="shared" si="2"/>
        <v>343.2</v>
      </c>
      <c r="AA53" s="3">
        <v>112.2</v>
      </c>
      <c r="AB53" s="3">
        <v>108</v>
      </c>
      <c r="AC53" s="3">
        <v>112.8</v>
      </c>
      <c r="AD53" s="68">
        <f t="shared" si="3"/>
        <v>220.8</v>
      </c>
      <c r="AE53" s="3">
        <v>114.3</v>
      </c>
      <c r="AF53" s="3">
        <v>111.4</v>
      </c>
      <c r="AG53" s="3">
        <v>112.3</v>
      </c>
      <c r="AH53" s="3">
        <v>117</v>
      </c>
      <c r="AI53" s="3">
        <f t="shared" si="4"/>
        <v>3130.5</v>
      </c>
    </row>
    <row r="54" spans="1:35">
      <c r="A54" s="3" t="s">
        <v>16</v>
      </c>
      <c r="B54" s="3">
        <v>2014</v>
      </c>
      <c r="C54" s="3" t="s">
        <v>30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131.2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68">
        <f t="shared" si="0"/>
        <v>1547</v>
      </c>
      <c r="R54" s="3">
        <v>119</v>
      </c>
      <c r="S54" s="3">
        <v>117.4</v>
      </c>
      <c r="T54" s="3">
        <v>113.2</v>
      </c>
      <c r="U54" s="3">
        <v>116.7</v>
      </c>
      <c r="V54" s="69">
        <f t="shared" si="1"/>
        <v>347.3</v>
      </c>
      <c r="W54" s="3">
        <v>113.9</v>
      </c>
      <c r="X54" s="3">
        <v>114.3</v>
      </c>
      <c r="Y54" s="3">
        <v>111.2</v>
      </c>
      <c r="Z54" s="3">
        <f t="shared" si="2"/>
        <v>339.4</v>
      </c>
      <c r="AA54" s="3">
        <v>111.5</v>
      </c>
      <c r="AB54" s="3">
        <v>108.7</v>
      </c>
      <c r="AC54" s="3">
        <v>111.4</v>
      </c>
      <c r="AD54" s="68">
        <f t="shared" si="3"/>
        <v>220.1</v>
      </c>
      <c r="AE54" s="3">
        <v>115.1</v>
      </c>
      <c r="AF54" s="3">
        <v>111.8</v>
      </c>
      <c r="AG54" s="3">
        <v>112.2</v>
      </c>
      <c r="AH54" s="3">
        <v>116.4</v>
      </c>
      <c r="AI54" s="3">
        <f t="shared" si="4"/>
        <v>3139.8</v>
      </c>
    </row>
    <row r="55" spans="1:35">
      <c r="A55" s="3" t="s">
        <v>17</v>
      </c>
      <c r="B55" s="3">
        <v>2014</v>
      </c>
      <c r="C55" s="3" t="s">
        <v>30</v>
      </c>
      <c r="D55" s="3">
        <v>121.5</v>
      </c>
      <c r="E55" s="3">
        <v>123.1</v>
      </c>
      <c r="F55" s="3">
        <v>115.8</v>
      </c>
      <c r="G55" s="3">
        <v>119.7</v>
      </c>
      <c r="H55" s="3">
        <v>107.8</v>
      </c>
      <c r="I55" s="3">
        <v>128.3</v>
      </c>
      <c r="J55" s="3">
        <v>132.1</v>
      </c>
      <c r="K55" s="3">
        <v>112.4</v>
      </c>
      <c r="L55" s="3">
        <v>102.9</v>
      </c>
      <c r="M55" s="3">
        <v>114.3</v>
      </c>
      <c r="N55" s="3">
        <v>114.2</v>
      </c>
      <c r="O55" s="3">
        <v>121.2</v>
      </c>
      <c r="P55" s="3">
        <v>120.4</v>
      </c>
      <c r="Q55" s="68">
        <f t="shared" si="0"/>
        <v>1533.7</v>
      </c>
      <c r="R55" s="3">
        <v>117.8</v>
      </c>
      <c r="S55" s="3">
        <v>118.8</v>
      </c>
      <c r="T55" s="3">
        <v>115.6</v>
      </c>
      <c r="U55" s="3">
        <v>118.3</v>
      </c>
      <c r="V55" s="69">
        <f t="shared" si="1"/>
        <v>352.7</v>
      </c>
      <c r="W55" s="3">
        <v>113.9</v>
      </c>
      <c r="X55" s="3">
        <v>114.6</v>
      </c>
      <c r="Y55" s="3">
        <v>113.2</v>
      </c>
      <c r="Z55" s="3">
        <f t="shared" si="2"/>
        <v>341.7</v>
      </c>
      <c r="AA55" s="3">
        <v>111.8</v>
      </c>
      <c r="AB55" s="3">
        <v>108.3</v>
      </c>
      <c r="AC55" s="3">
        <v>112.3</v>
      </c>
      <c r="AD55" s="68">
        <f t="shared" si="3"/>
        <v>220.6</v>
      </c>
      <c r="AE55" s="3">
        <v>114.8</v>
      </c>
      <c r="AF55" s="3">
        <v>111.6</v>
      </c>
      <c r="AG55" s="3">
        <v>112.3</v>
      </c>
      <c r="AH55" s="3">
        <v>116.7</v>
      </c>
      <c r="AI55" s="3">
        <f t="shared" si="4"/>
        <v>3133.7</v>
      </c>
    </row>
    <row r="56" spans="1:35">
      <c r="A56" s="3" t="s">
        <v>14</v>
      </c>
      <c r="B56" s="3">
        <v>2014</v>
      </c>
      <c r="C56" s="3" t="s">
        <v>31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68">
        <f t="shared" si="0"/>
        <v>1563.2</v>
      </c>
      <c r="R56" s="3">
        <v>118</v>
      </c>
      <c r="S56" s="3">
        <v>120.7</v>
      </c>
      <c r="T56" s="3">
        <v>118.3</v>
      </c>
      <c r="U56" s="3">
        <v>120.3</v>
      </c>
      <c r="V56" s="69">
        <f t="shared" si="1"/>
        <v>359.3</v>
      </c>
      <c r="W56" s="75">
        <v>114.8</v>
      </c>
      <c r="X56" s="3">
        <v>115.4</v>
      </c>
      <c r="Y56" s="3">
        <v>115.3</v>
      </c>
      <c r="Z56" s="3">
        <f t="shared" si="2"/>
        <v>345.5</v>
      </c>
      <c r="AA56" s="3">
        <v>113.2</v>
      </c>
      <c r="AB56" s="3">
        <v>108.8</v>
      </c>
      <c r="AC56" s="3">
        <v>113.4</v>
      </c>
      <c r="AD56" s="68">
        <f t="shared" si="3"/>
        <v>222.2</v>
      </c>
      <c r="AE56" s="3">
        <v>115.5</v>
      </c>
      <c r="AF56" s="3">
        <v>111.8</v>
      </c>
      <c r="AG56" s="3">
        <v>113.1</v>
      </c>
      <c r="AH56" s="3">
        <v>119.5</v>
      </c>
      <c r="AI56" s="3">
        <f t="shared" si="4"/>
        <v>3181.3</v>
      </c>
    </row>
    <row r="57" spans="1:35">
      <c r="A57" s="3" t="s">
        <v>16</v>
      </c>
      <c r="B57" s="3">
        <v>2014</v>
      </c>
      <c r="C57" s="3" t="s">
        <v>31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133.7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68">
        <f t="shared" si="0"/>
        <v>1599.5</v>
      </c>
      <c r="R57" s="3">
        <v>121</v>
      </c>
      <c r="S57" s="3">
        <v>118</v>
      </c>
      <c r="T57" s="3">
        <v>113.6</v>
      </c>
      <c r="U57" s="3">
        <v>117.4</v>
      </c>
      <c r="V57" s="69">
        <f t="shared" si="1"/>
        <v>349</v>
      </c>
      <c r="W57" s="3">
        <v>114.8</v>
      </c>
      <c r="X57" s="3">
        <v>114.9</v>
      </c>
      <c r="Y57" s="3">
        <v>111.6</v>
      </c>
      <c r="Z57" s="3">
        <f t="shared" si="2"/>
        <v>341.3</v>
      </c>
      <c r="AA57" s="3">
        <v>113</v>
      </c>
      <c r="AB57" s="3">
        <v>109.7</v>
      </c>
      <c r="AC57" s="3">
        <v>111.5</v>
      </c>
      <c r="AD57" s="68">
        <f t="shared" si="3"/>
        <v>221.2</v>
      </c>
      <c r="AE57" s="3">
        <v>117.8</v>
      </c>
      <c r="AF57" s="3">
        <v>112.4</v>
      </c>
      <c r="AG57" s="3">
        <v>113.5</v>
      </c>
      <c r="AH57" s="3">
        <v>118.9</v>
      </c>
      <c r="AI57" s="3">
        <f t="shared" si="4"/>
        <v>3207.6</v>
      </c>
    </row>
    <row r="58" spans="1:35">
      <c r="A58" s="3" t="s">
        <v>17</v>
      </c>
      <c r="B58" s="3">
        <v>2014</v>
      </c>
      <c r="C58" s="3" t="s">
        <v>31</v>
      </c>
      <c r="D58" s="3">
        <v>122.4</v>
      </c>
      <c r="E58" s="3">
        <v>123.9</v>
      </c>
      <c r="F58" s="3">
        <v>117.8</v>
      </c>
      <c r="G58" s="3">
        <v>121</v>
      </c>
      <c r="H58" s="3">
        <v>107.9</v>
      </c>
      <c r="I58" s="3">
        <v>131.2</v>
      </c>
      <c r="J58" s="3">
        <v>157.7</v>
      </c>
      <c r="K58" s="3">
        <v>113.2</v>
      </c>
      <c r="L58" s="3">
        <v>104.1</v>
      </c>
      <c r="M58" s="3">
        <v>115.5</v>
      </c>
      <c r="N58" s="3">
        <v>114.8</v>
      </c>
      <c r="O58" s="3">
        <v>122.1</v>
      </c>
      <c r="P58" s="3">
        <v>124.7</v>
      </c>
      <c r="Q58" s="68">
        <f t="shared" si="0"/>
        <v>1576.3</v>
      </c>
      <c r="R58" s="3">
        <v>118.8</v>
      </c>
      <c r="S58" s="3">
        <v>119.6</v>
      </c>
      <c r="T58" s="3">
        <v>116.3</v>
      </c>
      <c r="U58" s="3">
        <v>119.1</v>
      </c>
      <c r="V58" s="69">
        <f t="shared" si="1"/>
        <v>355</v>
      </c>
      <c r="W58" s="3">
        <v>114.8</v>
      </c>
      <c r="X58" s="3">
        <v>115.2</v>
      </c>
      <c r="Y58" s="3">
        <v>113.9</v>
      </c>
      <c r="Z58" s="3">
        <f t="shared" si="2"/>
        <v>343.9</v>
      </c>
      <c r="AA58" s="3">
        <v>113.1</v>
      </c>
      <c r="AB58" s="3">
        <v>109.2</v>
      </c>
      <c r="AC58" s="3">
        <v>112.7</v>
      </c>
      <c r="AD58" s="68">
        <f t="shared" si="3"/>
        <v>221.9</v>
      </c>
      <c r="AE58" s="3">
        <v>116.8</v>
      </c>
      <c r="AF58" s="3">
        <v>112.1</v>
      </c>
      <c r="AG58" s="3">
        <v>113.3</v>
      </c>
      <c r="AH58" s="3">
        <v>119.2</v>
      </c>
      <c r="AI58" s="3">
        <f t="shared" si="4"/>
        <v>3190.4</v>
      </c>
    </row>
    <row r="59" spans="1:35">
      <c r="A59" s="3" t="s">
        <v>14</v>
      </c>
      <c r="B59" s="3">
        <v>2014</v>
      </c>
      <c r="C59" s="3" t="s">
        <v>32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129.7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68">
        <f t="shared" si="0"/>
        <v>1582.3</v>
      </c>
      <c r="R59" s="3">
        <v>118.8</v>
      </c>
      <c r="S59" s="3">
        <v>120.9</v>
      </c>
      <c r="T59" s="3">
        <v>118.8</v>
      </c>
      <c r="U59" s="3">
        <v>120.7</v>
      </c>
      <c r="V59" s="69">
        <f t="shared" si="1"/>
        <v>360.4</v>
      </c>
      <c r="W59" s="75">
        <v>115.5</v>
      </c>
      <c r="X59" s="3">
        <v>115.9</v>
      </c>
      <c r="Y59" s="3">
        <v>115.4</v>
      </c>
      <c r="Z59" s="3">
        <f t="shared" si="2"/>
        <v>346.8</v>
      </c>
      <c r="AA59" s="3">
        <v>113.2</v>
      </c>
      <c r="AB59" s="3">
        <v>109.4</v>
      </c>
      <c r="AC59" s="3">
        <v>114</v>
      </c>
      <c r="AD59" s="68">
        <f t="shared" si="3"/>
        <v>223.4</v>
      </c>
      <c r="AE59" s="3">
        <v>116.2</v>
      </c>
      <c r="AF59" s="3">
        <v>112.2</v>
      </c>
      <c r="AG59" s="3">
        <v>113.5</v>
      </c>
      <c r="AH59" s="3">
        <v>120.7</v>
      </c>
      <c r="AI59" s="3">
        <f t="shared" si="4"/>
        <v>3207.5</v>
      </c>
    </row>
    <row r="60" spans="1:35">
      <c r="A60" s="3" t="s">
        <v>16</v>
      </c>
      <c r="B60" s="3">
        <v>2014</v>
      </c>
      <c r="C60" s="3" t="s">
        <v>32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132.7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68">
        <f t="shared" si="0"/>
        <v>1617</v>
      </c>
      <c r="R60" s="3">
        <v>123</v>
      </c>
      <c r="S60" s="3">
        <v>118.6</v>
      </c>
      <c r="T60" s="3">
        <v>114.1</v>
      </c>
      <c r="U60" s="3">
        <v>117.9</v>
      </c>
      <c r="V60" s="69">
        <f t="shared" si="1"/>
        <v>350.6</v>
      </c>
      <c r="W60" s="3">
        <v>115.5</v>
      </c>
      <c r="X60" s="3">
        <v>115.3</v>
      </c>
      <c r="Y60" s="3">
        <v>111.8</v>
      </c>
      <c r="Z60" s="3">
        <f t="shared" si="2"/>
        <v>342.6</v>
      </c>
      <c r="AA60" s="3">
        <v>112.5</v>
      </c>
      <c r="AB60" s="3">
        <v>110.5</v>
      </c>
      <c r="AC60" s="3">
        <v>112.2</v>
      </c>
      <c r="AD60" s="68">
        <f t="shared" si="3"/>
        <v>222.7</v>
      </c>
      <c r="AE60" s="3">
        <v>119.2</v>
      </c>
      <c r="AF60" s="3">
        <v>112.9</v>
      </c>
      <c r="AG60" s="3">
        <v>113.9</v>
      </c>
      <c r="AH60" s="3">
        <v>119.9</v>
      </c>
      <c r="AI60" s="3">
        <f t="shared" si="4"/>
        <v>3234.3</v>
      </c>
    </row>
    <row r="61" spans="1:35">
      <c r="A61" s="3" t="s">
        <v>17</v>
      </c>
      <c r="B61" s="3">
        <v>2014</v>
      </c>
      <c r="C61" s="3" t="s">
        <v>32</v>
      </c>
      <c r="D61" s="3">
        <v>122.7</v>
      </c>
      <c r="E61" s="3">
        <v>124.4</v>
      </c>
      <c r="F61" s="3">
        <v>117.3</v>
      </c>
      <c r="G61" s="3">
        <v>122</v>
      </c>
      <c r="H61" s="3">
        <v>108</v>
      </c>
      <c r="I61" s="3">
        <v>131.1</v>
      </c>
      <c r="J61" s="3">
        <v>168.2</v>
      </c>
      <c r="K61" s="3">
        <v>114.5</v>
      </c>
      <c r="L61" s="3">
        <v>104.3</v>
      </c>
      <c r="M61" s="3">
        <v>117.1</v>
      </c>
      <c r="N61" s="3">
        <v>115.2</v>
      </c>
      <c r="O61" s="3">
        <v>123.1</v>
      </c>
      <c r="P61" s="3">
        <v>126.6</v>
      </c>
      <c r="Q61" s="68">
        <f t="shared" si="0"/>
        <v>1594.5</v>
      </c>
      <c r="R61" s="3">
        <v>119.9</v>
      </c>
      <c r="S61" s="3">
        <v>120</v>
      </c>
      <c r="T61" s="3">
        <v>116.8</v>
      </c>
      <c r="U61" s="3">
        <v>119.6</v>
      </c>
      <c r="V61" s="69">
        <f t="shared" si="1"/>
        <v>356.4</v>
      </c>
      <c r="W61" s="3">
        <v>115.5</v>
      </c>
      <c r="X61" s="3">
        <v>115.6</v>
      </c>
      <c r="Y61" s="3">
        <v>114</v>
      </c>
      <c r="Z61" s="3">
        <f t="shared" si="2"/>
        <v>345.1</v>
      </c>
      <c r="AA61" s="3">
        <v>112.8</v>
      </c>
      <c r="AB61" s="3">
        <v>109.9</v>
      </c>
      <c r="AC61" s="3">
        <v>113.3</v>
      </c>
      <c r="AD61" s="68">
        <f t="shared" si="3"/>
        <v>223.2</v>
      </c>
      <c r="AE61" s="3">
        <v>118</v>
      </c>
      <c r="AF61" s="3">
        <v>112.6</v>
      </c>
      <c r="AG61" s="3">
        <v>113.7</v>
      </c>
      <c r="AH61" s="3">
        <v>120.3</v>
      </c>
      <c r="AI61" s="3">
        <f t="shared" si="4"/>
        <v>3216.5</v>
      </c>
    </row>
    <row r="62" spans="1:35">
      <c r="A62" s="3" t="s">
        <v>14</v>
      </c>
      <c r="B62" s="3">
        <v>2014</v>
      </c>
      <c r="C62" s="3" t="s">
        <v>33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</v>
      </c>
      <c r="J62" s="3">
        <v>158.8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68">
        <f t="shared" si="0"/>
        <v>1583.2</v>
      </c>
      <c r="R62" s="3">
        <v>119.5</v>
      </c>
      <c r="S62" s="3">
        <v>121.7</v>
      </c>
      <c r="T62" s="3">
        <v>119.2</v>
      </c>
      <c r="U62" s="3">
        <v>121.3</v>
      </c>
      <c r="V62" s="69">
        <f t="shared" si="1"/>
        <v>362.2</v>
      </c>
      <c r="W62" s="75">
        <v>116.1</v>
      </c>
      <c r="X62" s="3">
        <v>116.7</v>
      </c>
      <c r="Y62" s="3">
        <v>115.8</v>
      </c>
      <c r="Z62" s="3">
        <f t="shared" si="2"/>
        <v>348.6</v>
      </c>
      <c r="AA62" s="3">
        <v>112.8</v>
      </c>
      <c r="AB62" s="3">
        <v>109.1</v>
      </c>
      <c r="AC62" s="3">
        <v>114.5</v>
      </c>
      <c r="AD62" s="68">
        <f t="shared" si="3"/>
        <v>223.6</v>
      </c>
      <c r="AE62" s="3">
        <v>116.6</v>
      </c>
      <c r="AF62" s="3">
        <v>112.6</v>
      </c>
      <c r="AG62" s="3">
        <v>113.7</v>
      </c>
      <c r="AH62" s="3">
        <v>120.9</v>
      </c>
      <c r="AI62" s="3">
        <f t="shared" si="4"/>
        <v>3213.7</v>
      </c>
    </row>
    <row r="63" spans="1:35">
      <c r="A63" s="3" t="s">
        <v>16</v>
      </c>
      <c r="B63" s="3">
        <v>2014</v>
      </c>
      <c r="C63" s="3" t="s">
        <v>33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68">
        <f t="shared" si="0"/>
        <v>1593.7</v>
      </c>
      <c r="R63" s="3">
        <v>124.3</v>
      </c>
      <c r="S63" s="3">
        <v>119.2</v>
      </c>
      <c r="T63" s="3">
        <v>114.5</v>
      </c>
      <c r="U63" s="3">
        <v>118.4</v>
      </c>
      <c r="V63" s="69">
        <f t="shared" si="1"/>
        <v>352.1</v>
      </c>
      <c r="W63" s="3">
        <v>116.1</v>
      </c>
      <c r="X63" s="3">
        <v>115.5</v>
      </c>
      <c r="Y63" s="3">
        <v>111.8</v>
      </c>
      <c r="Z63" s="3">
        <f t="shared" si="2"/>
        <v>343.4</v>
      </c>
      <c r="AA63" s="3">
        <v>111.2</v>
      </c>
      <c r="AB63" s="3">
        <v>110</v>
      </c>
      <c r="AC63" s="3">
        <v>112.3</v>
      </c>
      <c r="AD63" s="68">
        <f t="shared" si="3"/>
        <v>222.3</v>
      </c>
      <c r="AE63" s="3">
        <v>120</v>
      </c>
      <c r="AF63" s="3">
        <v>113.4</v>
      </c>
      <c r="AG63" s="3">
        <v>113.6</v>
      </c>
      <c r="AH63" s="3">
        <v>119.2</v>
      </c>
      <c r="AI63" s="3">
        <f t="shared" si="4"/>
        <v>3213.2</v>
      </c>
    </row>
    <row r="64" spans="1:35">
      <c r="A64" s="3" t="s">
        <v>17</v>
      </c>
      <c r="B64" s="3">
        <v>2014</v>
      </c>
      <c r="C64" s="3" t="s">
        <v>33</v>
      </c>
      <c r="D64" s="3">
        <v>122.9</v>
      </c>
      <c r="E64" s="3">
        <v>123.5</v>
      </c>
      <c r="F64" s="3">
        <v>117.3</v>
      </c>
      <c r="G64" s="3">
        <v>122.7</v>
      </c>
      <c r="H64" s="3">
        <v>107.9</v>
      </c>
      <c r="I64" s="3">
        <v>127.3</v>
      </c>
      <c r="J64" s="3">
        <v>162.1</v>
      </c>
      <c r="K64" s="3">
        <v>115.6</v>
      </c>
      <c r="L64" s="3">
        <v>103.8</v>
      </c>
      <c r="M64" s="3">
        <v>117.6</v>
      </c>
      <c r="N64" s="3">
        <v>115.8</v>
      </c>
      <c r="O64" s="3">
        <v>123.8</v>
      </c>
      <c r="P64" s="3">
        <v>125.8</v>
      </c>
      <c r="Q64" s="68">
        <f t="shared" si="0"/>
        <v>1586.1</v>
      </c>
      <c r="R64" s="3">
        <v>120.8</v>
      </c>
      <c r="S64" s="3">
        <v>120.7</v>
      </c>
      <c r="T64" s="3">
        <v>117.2</v>
      </c>
      <c r="U64" s="3">
        <v>120.1</v>
      </c>
      <c r="V64" s="69">
        <f t="shared" si="1"/>
        <v>358</v>
      </c>
      <c r="W64" s="3">
        <v>116.1</v>
      </c>
      <c r="X64" s="3">
        <v>116.1</v>
      </c>
      <c r="Y64" s="3">
        <v>114.3</v>
      </c>
      <c r="Z64" s="3">
        <f t="shared" si="2"/>
        <v>346.5</v>
      </c>
      <c r="AA64" s="3">
        <v>112</v>
      </c>
      <c r="AB64" s="3">
        <v>109.5</v>
      </c>
      <c r="AC64" s="3">
        <v>113.7</v>
      </c>
      <c r="AD64" s="68">
        <f t="shared" si="3"/>
        <v>223.2</v>
      </c>
      <c r="AE64" s="3">
        <v>118.6</v>
      </c>
      <c r="AF64" s="3">
        <v>113.1</v>
      </c>
      <c r="AG64" s="3">
        <v>113.7</v>
      </c>
      <c r="AH64" s="3">
        <v>120.1</v>
      </c>
      <c r="AI64" s="3">
        <f t="shared" si="4"/>
        <v>3212.1</v>
      </c>
    </row>
    <row r="65" spans="1:35">
      <c r="A65" s="3" t="s">
        <v>14</v>
      </c>
      <c r="B65" s="3">
        <v>2014</v>
      </c>
      <c r="C65" s="3" t="s">
        <v>34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68">
        <f t="shared" si="0"/>
        <v>1581.2</v>
      </c>
      <c r="R65" s="3">
        <v>120</v>
      </c>
      <c r="S65" s="3">
        <v>122.7</v>
      </c>
      <c r="T65" s="3">
        <v>120.3</v>
      </c>
      <c r="U65" s="3">
        <v>122.3</v>
      </c>
      <c r="V65" s="69">
        <f t="shared" si="1"/>
        <v>365.3</v>
      </c>
      <c r="W65" s="75">
        <v>116.7</v>
      </c>
      <c r="X65" s="3">
        <v>117.5</v>
      </c>
      <c r="Y65" s="3">
        <v>116.4</v>
      </c>
      <c r="Z65" s="3">
        <f t="shared" si="2"/>
        <v>350.6</v>
      </c>
      <c r="AA65" s="3">
        <v>112.6</v>
      </c>
      <c r="AB65" s="3">
        <v>109.3</v>
      </c>
      <c r="AC65" s="3">
        <v>115.3</v>
      </c>
      <c r="AD65" s="68">
        <f t="shared" si="3"/>
        <v>224.6</v>
      </c>
      <c r="AE65" s="3">
        <v>116.9</v>
      </c>
      <c r="AF65" s="3">
        <v>113</v>
      </c>
      <c r="AG65" s="3">
        <v>114</v>
      </c>
      <c r="AH65" s="3">
        <v>121</v>
      </c>
      <c r="AI65" s="3">
        <f t="shared" si="4"/>
        <v>3219.2</v>
      </c>
    </row>
    <row r="66" spans="1:35">
      <c r="A66" s="3" t="s">
        <v>16</v>
      </c>
      <c r="B66" s="3">
        <v>2014</v>
      </c>
      <c r="C66" s="3" t="s">
        <v>34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68">
        <f t="shared" si="0"/>
        <v>1587.5</v>
      </c>
      <c r="R66" s="3">
        <v>124.3</v>
      </c>
      <c r="S66" s="3">
        <v>119.6</v>
      </c>
      <c r="T66" s="3">
        <v>114.9</v>
      </c>
      <c r="U66" s="3">
        <v>118.9</v>
      </c>
      <c r="V66" s="69">
        <f t="shared" si="1"/>
        <v>353.4</v>
      </c>
      <c r="W66" s="3">
        <v>116.7</v>
      </c>
      <c r="X66" s="3">
        <v>115.8</v>
      </c>
      <c r="Y66" s="3">
        <v>112</v>
      </c>
      <c r="Z66" s="3">
        <f t="shared" si="2"/>
        <v>344.5</v>
      </c>
      <c r="AA66" s="3">
        <v>111</v>
      </c>
      <c r="AB66" s="3">
        <v>110.1</v>
      </c>
      <c r="AC66" s="3">
        <v>112.6</v>
      </c>
      <c r="AD66" s="68">
        <f t="shared" si="3"/>
        <v>222.7</v>
      </c>
      <c r="AE66" s="3">
        <v>120.2</v>
      </c>
      <c r="AF66" s="3">
        <v>113.6</v>
      </c>
      <c r="AG66" s="3">
        <v>113.7</v>
      </c>
      <c r="AH66" s="3">
        <v>119.1</v>
      </c>
      <c r="AI66" s="3">
        <f t="shared" si="4"/>
        <v>3210</v>
      </c>
    </row>
    <row r="67" spans="1:35">
      <c r="A67" s="3" t="s">
        <v>17</v>
      </c>
      <c r="B67" s="3">
        <v>2014</v>
      </c>
      <c r="C67" s="3" t="s">
        <v>34</v>
      </c>
      <c r="D67" s="3">
        <v>123.2</v>
      </c>
      <c r="E67" s="3">
        <v>123.8</v>
      </c>
      <c r="F67" s="3">
        <v>118.1</v>
      </c>
      <c r="G67" s="3">
        <v>123.2</v>
      </c>
      <c r="H67" s="3">
        <v>107.9</v>
      </c>
      <c r="I67" s="3">
        <v>126.4</v>
      </c>
      <c r="J67" s="3">
        <v>156.8</v>
      </c>
      <c r="K67" s="3">
        <v>116.1</v>
      </c>
      <c r="L67" s="3">
        <v>103.1</v>
      </c>
      <c r="M67" s="3">
        <v>118.1</v>
      </c>
      <c r="N67" s="3">
        <v>116.1</v>
      </c>
      <c r="O67" s="3">
        <v>124.5</v>
      </c>
      <c r="P67" s="3">
        <v>125.4</v>
      </c>
      <c r="Q67" s="68">
        <f t="shared" ref="Q67:Q130" si="5">SUM(D67:P67)</f>
        <v>1582.7</v>
      </c>
      <c r="R67" s="3">
        <v>121.1</v>
      </c>
      <c r="S67" s="3">
        <v>121.5</v>
      </c>
      <c r="T67" s="3">
        <v>118.1</v>
      </c>
      <c r="U67" s="3">
        <v>121</v>
      </c>
      <c r="V67" s="69">
        <f t="shared" ref="V67:V130" si="6">SUM(S67:U67)</f>
        <v>360.6</v>
      </c>
      <c r="W67" s="3">
        <v>116.7</v>
      </c>
      <c r="X67" s="3">
        <v>116.7</v>
      </c>
      <c r="Y67" s="3">
        <v>114.7</v>
      </c>
      <c r="Z67" s="3">
        <f t="shared" ref="Z67:Z130" si="7">W67+X67+Y67</f>
        <v>348.1</v>
      </c>
      <c r="AA67" s="3">
        <v>111.8</v>
      </c>
      <c r="AB67" s="3">
        <v>109.6</v>
      </c>
      <c r="AC67" s="3">
        <v>114.3</v>
      </c>
      <c r="AD67" s="68">
        <f t="shared" ref="AD67:AD130" si="8">SUM(AB67:AC67)</f>
        <v>223.9</v>
      </c>
      <c r="AE67" s="3">
        <v>118.8</v>
      </c>
      <c r="AF67" s="3">
        <v>113.3</v>
      </c>
      <c r="AG67" s="3">
        <v>113.9</v>
      </c>
      <c r="AH67" s="3">
        <v>120.1</v>
      </c>
      <c r="AI67" s="3">
        <f t="shared" ref="AI67:AI130" si="9">SUM(Q67,R67,V67,Z67,AA67,AD67,AE67,AF67,AG67,AH67)</f>
        <v>3214.3</v>
      </c>
    </row>
    <row r="68" spans="1:35">
      <c r="A68" s="3" t="s">
        <v>14</v>
      </c>
      <c r="B68" s="3">
        <v>2014</v>
      </c>
      <c r="C68" s="3" t="s">
        <v>36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68">
        <f t="shared" si="5"/>
        <v>1582</v>
      </c>
      <c r="R68" s="3">
        <v>120.8</v>
      </c>
      <c r="S68" s="3">
        <v>123.3</v>
      </c>
      <c r="T68" s="3">
        <v>120.5</v>
      </c>
      <c r="U68" s="3">
        <v>122.9</v>
      </c>
      <c r="V68" s="69">
        <f t="shared" si="6"/>
        <v>366.7</v>
      </c>
      <c r="W68" s="75">
        <v>117.1</v>
      </c>
      <c r="X68" s="3">
        <v>118.1</v>
      </c>
      <c r="Y68" s="3">
        <v>117.3</v>
      </c>
      <c r="Z68" s="3">
        <f t="shared" si="7"/>
        <v>352.5</v>
      </c>
      <c r="AA68" s="3">
        <v>112</v>
      </c>
      <c r="AB68" s="3">
        <v>108.8</v>
      </c>
      <c r="AC68" s="3">
        <v>115.9</v>
      </c>
      <c r="AD68" s="68">
        <f t="shared" si="8"/>
        <v>224.7</v>
      </c>
      <c r="AE68" s="3">
        <v>117.2</v>
      </c>
      <c r="AF68" s="3">
        <v>113.3</v>
      </c>
      <c r="AG68" s="3">
        <v>114.1</v>
      </c>
      <c r="AH68" s="3">
        <v>121.1</v>
      </c>
      <c r="AI68" s="3">
        <f t="shared" si="9"/>
        <v>3224.4</v>
      </c>
    </row>
    <row r="69" spans="1:35">
      <c r="A69" s="3" t="s">
        <v>16</v>
      </c>
      <c r="B69" s="3">
        <v>2014</v>
      </c>
      <c r="C69" s="3" t="s">
        <v>36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153.2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68">
        <f t="shared" si="5"/>
        <v>1587.8</v>
      </c>
      <c r="R69" s="3">
        <v>125.8</v>
      </c>
      <c r="S69" s="3">
        <v>120.3</v>
      </c>
      <c r="T69" s="3">
        <v>115.4</v>
      </c>
      <c r="U69" s="3">
        <v>119.5</v>
      </c>
      <c r="V69" s="69">
        <f t="shared" si="6"/>
        <v>355.2</v>
      </c>
      <c r="W69" s="3">
        <v>117.1</v>
      </c>
      <c r="X69" s="3">
        <v>116.4</v>
      </c>
      <c r="Y69" s="3">
        <v>112.6</v>
      </c>
      <c r="Z69" s="3">
        <f t="shared" si="7"/>
        <v>346.1</v>
      </c>
      <c r="AA69" s="3">
        <v>109.7</v>
      </c>
      <c r="AB69" s="3">
        <v>109.6</v>
      </c>
      <c r="AC69" s="3">
        <v>113</v>
      </c>
      <c r="AD69" s="68">
        <f t="shared" si="8"/>
        <v>222.6</v>
      </c>
      <c r="AE69" s="3">
        <v>120.3</v>
      </c>
      <c r="AF69" s="3">
        <v>114</v>
      </c>
      <c r="AG69" s="3">
        <v>113.4</v>
      </c>
      <c r="AH69" s="3">
        <v>119</v>
      </c>
      <c r="AI69" s="3">
        <f t="shared" si="9"/>
        <v>3213.9</v>
      </c>
    </row>
    <row r="70" spans="1:35">
      <c r="A70" s="3" t="s">
        <v>17</v>
      </c>
      <c r="B70" s="3">
        <v>2014</v>
      </c>
      <c r="C70" s="3" t="s">
        <v>36</v>
      </c>
      <c r="D70" s="3">
        <v>123.3</v>
      </c>
      <c r="E70" s="3">
        <v>123.7</v>
      </c>
      <c r="F70" s="3">
        <v>121</v>
      </c>
      <c r="G70" s="3">
        <v>124.2</v>
      </c>
      <c r="H70" s="3">
        <v>107.8</v>
      </c>
      <c r="I70" s="3">
        <v>125.7</v>
      </c>
      <c r="J70" s="3">
        <v>152.4</v>
      </c>
      <c r="K70" s="3">
        <v>117.2</v>
      </c>
      <c r="L70" s="3">
        <v>102.1</v>
      </c>
      <c r="M70" s="3">
        <v>118.7</v>
      </c>
      <c r="N70" s="3">
        <v>116.4</v>
      </c>
      <c r="O70" s="3">
        <v>125.6</v>
      </c>
      <c r="P70" s="3">
        <v>125.1</v>
      </c>
      <c r="Q70" s="68">
        <f t="shared" si="5"/>
        <v>1583.2</v>
      </c>
      <c r="R70" s="3">
        <v>122.1</v>
      </c>
      <c r="S70" s="3">
        <v>122.1</v>
      </c>
      <c r="T70" s="3">
        <v>118.4</v>
      </c>
      <c r="U70" s="3">
        <v>121.6</v>
      </c>
      <c r="V70" s="69">
        <f t="shared" si="6"/>
        <v>362.1</v>
      </c>
      <c r="W70" s="3">
        <v>117.1</v>
      </c>
      <c r="X70" s="3">
        <v>117.3</v>
      </c>
      <c r="Y70" s="3">
        <v>115.5</v>
      </c>
      <c r="Z70" s="3">
        <f t="shared" si="7"/>
        <v>349.9</v>
      </c>
      <c r="AA70" s="3">
        <v>110.8</v>
      </c>
      <c r="AB70" s="3">
        <v>109.1</v>
      </c>
      <c r="AC70" s="3">
        <v>114.8</v>
      </c>
      <c r="AD70" s="68">
        <f t="shared" si="8"/>
        <v>223.9</v>
      </c>
      <c r="AE70" s="3">
        <v>119</v>
      </c>
      <c r="AF70" s="3">
        <v>113.7</v>
      </c>
      <c r="AG70" s="3">
        <v>113.8</v>
      </c>
      <c r="AH70" s="3">
        <v>120.1</v>
      </c>
      <c r="AI70" s="3">
        <f t="shared" si="9"/>
        <v>3218.6</v>
      </c>
    </row>
    <row r="71" spans="1:35">
      <c r="A71" s="3" t="s">
        <v>14</v>
      </c>
      <c r="B71" s="3">
        <v>2014</v>
      </c>
      <c r="C71" s="3" t="s">
        <v>37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68">
        <f t="shared" si="5"/>
        <v>1569.6</v>
      </c>
      <c r="R71" s="3">
        <v>121.7</v>
      </c>
      <c r="S71" s="3">
        <v>123.8</v>
      </c>
      <c r="T71" s="3">
        <v>120.6</v>
      </c>
      <c r="U71" s="3">
        <v>123.3</v>
      </c>
      <c r="V71" s="69">
        <f t="shared" si="6"/>
        <v>367.7</v>
      </c>
      <c r="W71" s="75">
        <v>116.5</v>
      </c>
      <c r="X71" s="3">
        <v>118.2</v>
      </c>
      <c r="Y71" s="3">
        <v>117.4</v>
      </c>
      <c r="Z71" s="3">
        <f t="shared" si="7"/>
        <v>352.1</v>
      </c>
      <c r="AA71" s="3">
        <v>111.5</v>
      </c>
      <c r="AB71" s="3">
        <v>109.4</v>
      </c>
      <c r="AC71" s="3">
        <v>116.2</v>
      </c>
      <c r="AD71" s="68">
        <f t="shared" si="8"/>
        <v>225.6</v>
      </c>
      <c r="AE71" s="3">
        <v>117.7</v>
      </c>
      <c r="AF71" s="3">
        <v>113.3</v>
      </c>
      <c r="AG71" s="3">
        <v>114.2</v>
      </c>
      <c r="AH71" s="3">
        <v>120.3</v>
      </c>
      <c r="AI71" s="3">
        <f t="shared" si="9"/>
        <v>3213.7</v>
      </c>
    </row>
    <row r="72" spans="1:35">
      <c r="A72" s="3" t="s">
        <v>16</v>
      </c>
      <c r="B72" s="3">
        <v>2014</v>
      </c>
      <c r="C72" s="3" t="s">
        <v>37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68">
        <f t="shared" si="5"/>
        <v>1577.2</v>
      </c>
      <c r="R72" s="3">
        <v>126.4</v>
      </c>
      <c r="S72" s="3">
        <v>120.7</v>
      </c>
      <c r="T72" s="3">
        <v>115.8</v>
      </c>
      <c r="U72" s="3">
        <v>120</v>
      </c>
      <c r="V72" s="69">
        <f t="shared" si="6"/>
        <v>356.5</v>
      </c>
      <c r="W72" s="3">
        <v>116.5</v>
      </c>
      <c r="X72" s="3">
        <v>116.8</v>
      </c>
      <c r="Y72" s="3">
        <v>113</v>
      </c>
      <c r="Z72" s="3">
        <f t="shared" si="7"/>
        <v>346.3</v>
      </c>
      <c r="AA72" s="3">
        <v>108.8</v>
      </c>
      <c r="AB72" s="3">
        <v>110.4</v>
      </c>
      <c r="AC72" s="3">
        <v>113.2</v>
      </c>
      <c r="AD72" s="68">
        <f t="shared" si="8"/>
        <v>223.6</v>
      </c>
      <c r="AE72" s="3">
        <v>120.7</v>
      </c>
      <c r="AF72" s="3">
        <v>114.3</v>
      </c>
      <c r="AG72" s="3">
        <v>113.4</v>
      </c>
      <c r="AH72" s="3">
        <v>118.4</v>
      </c>
      <c r="AI72" s="3">
        <f t="shared" si="9"/>
        <v>3205.6</v>
      </c>
    </row>
    <row r="73" spans="1:35">
      <c r="A73" s="3" t="s">
        <v>17</v>
      </c>
      <c r="B73" s="3">
        <v>2014</v>
      </c>
      <c r="C73" s="3" t="s">
        <v>37</v>
      </c>
      <c r="D73" s="3">
        <v>122.9</v>
      </c>
      <c r="E73" s="3">
        <v>123.2</v>
      </c>
      <c r="F73" s="3">
        <v>123.5</v>
      </c>
      <c r="G73" s="3">
        <v>124.5</v>
      </c>
      <c r="H73" s="3">
        <v>107.6</v>
      </c>
      <c r="I73" s="3">
        <v>125.7</v>
      </c>
      <c r="J73" s="3">
        <v>140.5</v>
      </c>
      <c r="K73" s="3">
        <v>117.6</v>
      </c>
      <c r="L73" s="3">
        <v>100.6</v>
      </c>
      <c r="M73" s="3">
        <v>119.1</v>
      </c>
      <c r="N73" s="3">
        <v>116.8</v>
      </c>
      <c r="O73" s="3">
        <v>126.1</v>
      </c>
      <c r="P73" s="3">
        <v>123.6</v>
      </c>
      <c r="Q73" s="68">
        <f t="shared" si="5"/>
        <v>1571.7</v>
      </c>
      <c r="R73" s="3">
        <v>123</v>
      </c>
      <c r="S73" s="3">
        <v>122.6</v>
      </c>
      <c r="T73" s="3">
        <v>118.6</v>
      </c>
      <c r="U73" s="3">
        <v>122</v>
      </c>
      <c r="V73" s="69">
        <f t="shared" si="6"/>
        <v>363.2</v>
      </c>
      <c r="W73" s="3">
        <v>116.5</v>
      </c>
      <c r="X73" s="3">
        <v>117.5</v>
      </c>
      <c r="Y73" s="3">
        <v>115.7</v>
      </c>
      <c r="Z73" s="3">
        <f t="shared" si="7"/>
        <v>349.7</v>
      </c>
      <c r="AA73" s="3">
        <v>110.1</v>
      </c>
      <c r="AB73" s="3">
        <v>109.8</v>
      </c>
      <c r="AC73" s="3">
        <v>115.1</v>
      </c>
      <c r="AD73" s="68">
        <f t="shared" si="8"/>
        <v>224.9</v>
      </c>
      <c r="AE73" s="3">
        <v>119.5</v>
      </c>
      <c r="AF73" s="3">
        <v>113.9</v>
      </c>
      <c r="AG73" s="3">
        <v>113.8</v>
      </c>
      <c r="AH73" s="3">
        <v>119.4</v>
      </c>
      <c r="AI73" s="3">
        <f t="shared" si="9"/>
        <v>3209.2</v>
      </c>
    </row>
    <row r="74" spans="1:35">
      <c r="A74" s="3" t="s">
        <v>14</v>
      </c>
      <c r="B74" s="3">
        <v>2015</v>
      </c>
      <c r="C74" s="3" t="s">
        <v>19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68">
        <f t="shared" si="5"/>
        <v>1568.1</v>
      </c>
      <c r="R74" s="3">
        <v>122.7</v>
      </c>
      <c r="S74" s="3">
        <v>124.4</v>
      </c>
      <c r="T74" s="3">
        <v>121.6</v>
      </c>
      <c r="U74" s="3">
        <v>124</v>
      </c>
      <c r="V74" s="69">
        <f t="shared" si="6"/>
        <v>370</v>
      </c>
      <c r="W74" s="75">
        <v>117.3</v>
      </c>
      <c r="X74" s="3">
        <v>118.9</v>
      </c>
      <c r="Y74" s="3">
        <v>118.4</v>
      </c>
      <c r="Z74" s="3">
        <f t="shared" si="7"/>
        <v>354.6</v>
      </c>
      <c r="AA74" s="3">
        <v>111</v>
      </c>
      <c r="AB74" s="3">
        <v>110.2</v>
      </c>
      <c r="AC74" s="3">
        <v>116.6</v>
      </c>
      <c r="AD74" s="68">
        <f t="shared" si="8"/>
        <v>226.8</v>
      </c>
      <c r="AE74" s="3">
        <v>118.2</v>
      </c>
      <c r="AF74" s="3">
        <v>114</v>
      </c>
      <c r="AG74" s="3">
        <v>114.5</v>
      </c>
      <c r="AH74" s="3">
        <v>120.3</v>
      </c>
      <c r="AI74" s="3">
        <f t="shared" si="9"/>
        <v>3220.2</v>
      </c>
    </row>
    <row r="75" spans="1:35">
      <c r="A75" s="3" t="s">
        <v>16</v>
      </c>
      <c r="B75" s="3">
        <v>2015</v>
      </c>
      <c r="C75" s="3" t="s">
        <v>19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68">
        <f t="shared" si="5"/>
        <v>1574.9</v>
      </c>
      <c r="R75" s="3">
        <v>127.4</v>
      </c>
      <c r="S75" s="3">
        <v>121</v>
      </c>
      <c r="T75" s="3">
        <v>116.1</v>
      </c>
      <c r="U75" s="3">
        <v>120.2</v>
      </c>
      <c r="V75" s="69">
        <f t="shared" si="6"/>
        <v>357.3</v>
      </c>
      <c r="W75" s="3">
        <v>117.3</v>
      </c>
      <c r="X75" s="3">
        <v>117.2</v>
      </c>
      <c r="Y75" s="3">
        <v>113.4</v>
      </c>
      <c r="Z75" s="3">
        <f t="shared" si="7"/>
        <v>347.9</v>
      </c>
      <c r="AA75" s="3">
        <v>107.9</v>
      </c>
      <c r="AB75" s="3">
        <v>111.4</v>
      </c>
      <c r="AC75" s="3">
        <v>113.7</v>
      </c>
      <c r="AD75" s="68">
        <f t="shared" si="8"/>
        <v>225.1</v>
      </c>
      <c r="AE75" s="3">
        <v>120.8</v>
      </c>
      <c r="AF75" s="3">
        <v>114.6</v>
      </c>
      <c r="AG75" s="3">
        <v>113.4</v>
      </c>
      <c r="AH75" s="3">
        <v>118.5</v>
      </c>
      <c r="AI75" s="3">
        <f t="shared" si="9"/>
        <v>3207.8</v>
      </c>
    </row>
    <row r="76" spans="1:35">
      <c r="A76" s="3" t="s">
        <v>17</v>
      </c>
      <c r="B76" s="3">
        <v>2015</v>
      </c>
      <c r="C76" s="3" t="s">
        <v>19</v>
      </c>
      <c r="D76" s="3">
        <v>123.4</v>
      </c>
      <c r="E76" s="3">
        <v>123.9</v>
      </c>
      <c r="F76" s="3">
        <v>123.8</v>
      </c>
      <c r="G76" s="3">
        <v>125</v>
      </c>
      <c r="H76" s="3">
        <v>108.5</v>
      </c>
      <c r="I76" s="3">
        <v>126.2</v>
      </c>
      <c r="J76" s="3">
        <v>133</v>
      </c>
      <c r="K76" s="3">
        <v>119.1</v>
      </c>
      <c r="L76" s="3">
        <v>99</v>
      </c>
      <c r="M76" s="3">
        <v>120.3</v>
      </c>
      <c r="N76" s="3">
        <v>117.3</v>
      </c>
      <c r="O76" s="3">
        <v>126.7</v>
      </c>
      <c r="P76" s="3">
        <v>123.1</v>
      </c>
      <c r="Q76" s="68">
        <f t="shared" si="5"/>
        <v>1569.3</v>
      </c>
      <c r="R76" s="3">
        <v>124</v>
      </c>
      <c r="S76" s="3">
        <v>123.1</v>
      </c>
      <c r="T76" s="3">
        <v>119.3</v>
      </c>
      <c r="U76" s="3">
        <v>122.5</v>
      </c>
      <c r="V76" s="69">
        <f t="shared" si="6"/>
        <v>364.9</v>
      </c>
      <c r="W76" s="3">
        <v>117.3</v>
      </c>
      <c r="X76" s="3">
        <v>118.1</v>
      </c>
      <c r="Y76" s="3">
        <v>116.5</v>
      </c>
      <c r="Z76" s="3">
        <f t="shared" si="7"/>
        <v>351.9</v>
      </c>
      <c r="AA76" s="3">
        <v>109.4</v>
      </c>
      <c r="AB76" s="3">
        <v>110.7</v>
      </c>
      <c r="AC76" s="3">
        <v>115.5</v>
      </c>
      <c r="AD76" s="68">
        <f t="shared" si="8"/>
        <v>226.2</v>
      </c>
      <c r="AE76" s="3">
        <v>119.7</v>
      </c>
      <c r="AF76" s="3">
        <v>114.3</v>
      </c>
      <c r="AG76" s="3">
        <v>114</v>
      </c>
      <c r="AH76" s="3">
        <v>119.5</v>
      </c>
      <c r="AI76" s="3">
        <f t="shared" si="9"/>
        <v>3213.2</v>
      </c>
    </row>
    <row r="77" spans="1:35">
      <c r="A77" s="3" t="s">
        <v>14</v>
      </c>
      <c r="B77" s="3">
        <v>2015</v>
      </c>
      <c r="C77" s="3" t="s">
        <v>20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128.2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68">
        <f t="shared" si="5"/>
        <v>1570.6</v>
      </c>
      <c r="R77" s="3">
        <v>124.2</v>
      </c>
      <c r="S77" s="3">
        <v>125.4</v>
      </c>
      <c r="T77" s="3">
        <v>122.7</v>
      </c>
      <c r="U77" s="3">
        <v>125</v>
      </c>
      <c r="V77" s="69">
        <f t="shared" si="6"/>
        <v>373.1</v>
      </c>
      <c r="W77" s="75">
        <v>118.1</v>
      </c>
      <c r="X77" s="3">
        <v>119.6</v>
      </c>
      <c r="Y77" s="3">
        <v>120</v>
      </c>
      <c r="Z77" s="3">
        <f t="shared" si="7"/>
        <v>357.7</v>
      </c>
      <c r="AA77" s="3">
        <v>110.9</v>
      </c>
      <c r="AB77" s="3">
        <v>110.8</v>
      </c>
      <c r="AC77" s="3">
        <v>117.7</v>
      </c>
      <c r="AD77" s="68">
        <f t="shared" si="8"/>
        <v>228.5</v>
      </c>
      <c r="AE77" s="3">
        <v>118.7</v>
      </c>
      <c r="AF77" s="3">
        <v>114.8</v>
      </c>
      <c r="AG77" s="3">
        <v>115</v>
      </c>
      <c r="AH77" s="3">
        <v>120.6</v>
      </c>
      <c r="AI77" s="3">
        <f t="shared" si="9"/>
        <v>3234.1</v>
      </c>
    </row>
    <row r="78" spans="1:35">
      <c r="A78" s="3" t="s">
        <v>16</v>
      </c>
      <c r="B78" s="3">
        <v>2015</v>
      </c>
      <c r="C78" s="3" t="s">
        <v>20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68">
        <f t="shared" si="5"/>
        <v>1571.1</v>
      </c>
      <c r="R78" s="3">
        <v>128.1</v>
      </c>
      <c r="S78" s="3">
        <v>121.3</v>
      </c>
      <c r="T78" s="3">
        <v>116.5</v>
      </c>
      <c r="U78" s="3">
        <v>120.6</v>
      </c>
      <c r="V78" s="69">
        <f t="shared" si="6"/>
        <v>358.4</v>
      </c>
      <c r="W78" s="3">
        <v>118.1</v>
      </c>
      <c r="X78" s="3">
        <v>117.7</v>
      </c>
      <c r="Y78" s="3">
        <v>114</v>
      </c>
      <c r="Z78" s="3">
        <f t="shared" si="7"/>
        <v>349.8</v>
      </c>
      <c r="AA78" s="3">
        <v>106.8</v>
      </c>
      <c r="AB78" s="3">
        <v>111.7</v>
      </c>
      <c r="AC78" s="3">
        <v>114.1</v>
      </c>
      <c r="AD78" s="68">
        <f t="shared" si="8"/>
        <v>225.8</v>
      </c>
      <c r="AE78" s="3">
        <v>120.4</v>
      </c>
      <c r="AF78" s="3">
        <v>114.9</v>
      </c>
      <c r="AG78" s="3">
        <v>113.2</v>
      </c>
      <c r="AH78" s="3">
        <v>118.7</v>
      </c>
      <c r="AI78" s="3">
        <f t="shared" si="9"/>
        <v>3207.2</v>
      </c>
    </row>
    <row r="79" spans="1:35">
      <c r="A79" s="3" t="s">
        <v>17</v>
      </c>
      <c r="B79" s="3">
        <v>2015</v>
      </c>
      <c r="C79" s="3" t="s">
        <v>20</v>
      </c>
      <c r="D79" s="3">
        <v>123.7</v>
      </c>
      <c r="E79" s="3">
        <v>125.1</v>
      </c>
      <c r="F79" s="3">
        <v>121.1</v>
      </c>
      <c r="G79" s="3">
        <v>125.7</v>
      </c>
      <c r="H79" s="3">
        <v>109.1</v>
      </c>
      <c r="I79" s="3">
        <v>125.8</v>
      </c>
      <c r="J79" s="3">
        <v>129.4</v>
      </c>
      <c r="K79" s="3">
        <v>120.9</v>
      </c>
      <c r="L79" s="3">
        <v>98.3</v>
      </c>
      <c r="M79" s="3">
        <v>121.6</v>
      </c>
      <c r="N79" s="3">
        <v>118</v>
      </c>
      <c r="O79" s="3">
        <v>127.6</v>
      </c>
      <c r="P79" s="3">
        <v>123.1</v>
      </c>
      <c r="Q79" s="68">
        <f t="shared" si="5"/>
        <v>1569.4</v>
      </c>
      <c r="R79" s="3">
        <v>125.2</v>
      </c>
      <c r="S79" s="3">
        <v>123.8</v>
      </c>
      <c r="T79" s="3">
        <v>120.1</v>
      </c>
      <c r="U79" s="3">
        <v>123.3</v>
      </c>
      <c r="V79" s="69">
        <f t="shared" si="6"/>
        <v>367.2</v>
      </c>
      <c r="W79" s="3">
        <v>118.1</v>
      </c>
      <c r="X79" s="3">
        <v>118.7</v>
      </c>
      <c r="Y79" s="3">
        <v>117.7</v>
      </c>
      <c r="Z79" s="3">
        <f t="shared" si="7"/>
        <v>354.5</v>
      </c>
      <c r="AA79" s="3">
        <v>108.7</v>
      </c>
      <c r="AB79" s="3">
        <v>111.2</v>
      </c>
      <c r="AC79" s="3">
        <v>116.3</v>
      </c>
      <c r="AD79" s="68">
        <f t="shared" si="8"/>
        <v>227.5</v>
      </c>
      <c r="AE79" s="3">
        <v>119.7</v>
      </c>
      <c r="AF79" s="3">
        <v>114.9</v>
      </c>
      <c r="AG79" s="3">
        <v>114.1</v>
      </c>
      <c r="AH79" s="3">
        <v>119.7</v>
      </c>
      <c r="AI79" s="3">
        <f t="shared" si="9"/>
        <v>3220.9</v>
      </c>
    </row>
    <row r="80" spans="1:35">
      <c r="A80" s="3" t="s">
        <v>14</v>
      </c>
      <c r="B80" s="3">
        <v>2015</v>
      </c>
      <c r="C80" s="3" t="s">
        <v>26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68">
        <f t="shared" si="5"/>
        <v>1571.5</v>
      </c>
      <c r="R80" s="3">
        <v>124.7</v>
      </c>
      <c r="S80" s="3">
        <v>126</v>
      </c>
      <c r="T80" s="3">
        <v>122.9</v>
      </c>
      <c r="U80" s="3">
        <v>125.5</v>
      </c>
      <c r="V80" s="69">
        <f t="shared" si="6"/>
        <v>374.4</v>
      </c>
      <c r="W80" s="75">
        <v>118.6</v>
      </c>
      <c r="X80" s="3">
        <v>120.2</v>
      </c>
      <c r="Y80" s="3">
        <v>120.6</v>
      </c>
      <c r="Z80" s="3">
        <f t="shared" si="7"/>
        <v>359.4</v>
      </c>
      <c r="AA80" s="3">
        <v>111.6</v>
      </c>
      <c r="AB80" s="3">
        <v>110.8</v>
      </c>
      <c r="AC80" s="3">
        <v>118.2</v>
      </c>
      <c r="AD80" s="68">
        <f t="shared" si="8"/>
        <v>229</v>
      </c>
      <c r="AE80" s="3">
        <v>119.4</v>
      </c>
      <c r="AF80" s="3">
        <v>115.5</v>
      </c>
      <c r="AG80" s="3">
        <v>115.5</v>
      </c>
      <c r="AH80" s="3">
        <v>121.1</v>
      </c>
      <c r="AI80" s="3">
        <f t="shared" si="9"/>
        <v>3242.1</v>
      </c>
    </row>
    <row r="81" spans="1:35">
      <c r="A81" s="3" t="s">
        <v>16</v>
      </c>
      <c r="B81" s="3">
        <v>2015</v>
      </c>
      <c r="C81" s="3" t="s">
        <v>26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129.2</v>
      </c>
      <c r="P81" s="3">
        <v>123.9</v>
      </c>
      <c r="Q81" s="68">
        <f t="shared" si="5"/>
        <v>1568</v>
      </c>
      <c r="R81" s="3">
        <v>128.8</v>
      </c>
      <c r="S81" s="3">
        <v>121.7</v>
      </c>
      <c r="T81" s="3">
        <v>116.9</v>
      </c>
      <c r="U81" s="3">
        <v>120.9</v>
      </c>
      <c r="V81" s="69">
        <f t="shared" si="6"/>
        <v>359.5</v>
      </c>
      <c r="W81" s="3">
        <v>118.6</v>
      </c>
      <c r="X81" s="3">
        <v>118</v>
      </c>
      <c r="Y81" s="3">
        <v>114.4</v>
      </c>
      <c r="Z81" s="3">
        <f t="shared" si="7"/>
        <v>351</v>
      </c>
      <c r="AA81" s="3">
        <v>108.4</v>
      </c>
      <c r="AB81" s="3">
        <v>111.3</v>
      </c>
      <c r="AC81" s="3">
        <v>114.3</v>
      </c>
      <c r="AD81" s="68">
        <f t="shared" si="8"/>
        <v>225.6</v>
      </c>
      <c r="AE81" s="3">
        <v>120.6</v>
      </c>
      <c r="AF81" s="3">
        <v>115.4</v>
      </c>
      <c r="AG81" s="3">
        <v>113.8</v>
      </c>
      <c r="AH81" s="3">
        <v>119.1</v>
      </c>
      <c r="AI81" s="3">
        <f t="shared" si="9"/>
        <v>3210.2</v>
      </c>
    </row>
    <row r="82" spans="1:35">
      <c r="A82" s="3" t="s">
        <v>17</v>
      </c>
      <c r="B82" s="3">
        <v>2015</v>
      </c>
      <c r="C82" s="3" t="s">
        <v>26</v>
      </c>
      <c r="D82" s="3">
        <v>123.5</v>
      </c>
      <c r="E82" s="3">
        <v>125.4</v>
      </c>
      <c r="F82" s="3">
        <v>116.8</v>
      </c>
      <c r="G82" s="3">
        <v>126</v>
      </c>
      <c r="H82" s="3">
        <v>109.2</v>
      </c>
      <c r="I82" s="3">
        <v>127.6</v>
      </c>
      <c r="J82" s="3">
        <v>129.2</v>
      </c>
      <c r="K82" s="3">
        <v>122.4</v>
      </c>
      <c r="L82" s="3">
        <v>97</v>
      </c>
      <c r="M82" s="3">
        <v>122.1</v>
      </c>
      <c r="N82" s="3">
        <v>118.1</v>
      </c>
      <c r="O82" s="3">
        <v>128.4</v>
      </c>
      <c r="P82" s="3">
        <v>123.4</v>
      </c>
      <c r="Q82" s="68">
        <f t="shared" si="5"/>
        <v>1569.1</v>
      </c>
      <c r="R82" s="3">
        <v>125.8</v>
      </c>
      <c r="S82" s="3">
        <v>124.3</v>
      </c>
      <c r="T82" s="3">
        <v>120.4</v>
      </c>
      <c r="U82" s="3">
        <v>123.7</v>
      </c>
      <c r="V82" s="69">
        <f t="shared" si="6"/>
        <v>368.4</v>
      </c>
      <c r="W82" s="3">
        <v>118.6</v>
      </c>
      <c r="X82" s="3">
        <v>119.2</v>
      </c>
      <c r="Y82" s="3">
        <v>118.3</v>
      </c>
      <c r="Z82" s="3">
        <f t="shared" si="7"/>
        <v>356.1</v>
      </c>
      <c r="AA82" s="3">
        <v>109.9</v>
      </c>
      <c r="AB82" s="3">
        <v>111</v>
      </c>
      <c r="AC82" s="3">
        <v>116.7</v>
      </c>
      <c r="AD82" s="68">
        <f t="shared" si="8"/>
        <v>227.7</v>
      </c>
      <c r="AE82" s="3">
        <v>120.1</v>
      </c>
      <c r="AF82" s="3">
        <v>115.4</v>
      </c>
      <c r="AG82" s="3">
        <v>114.7</v>
      </c>
      <c r="AH82" s="3">
        <v>120.2</v>
      </c>
      <c r="AI82" s="3">
        <f t="shared" si="9"/>
        <v>3227.4</v>
      </c>
    </row>
    <row r="83" spans="1:35">
      <c r="A83" s="3" t="s">
        <v>14</v>
      </c>
      <c r="B83" s="3">
        <v>2015</v>
      </c>
      <c r="C83" s="3" t="s">
        <v>29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134.2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128.7</v>
      </c>
      <c r="P83" s="3">
        <v>123.6</v>
      </c>
      <c r="Q83" s="68">
        <f t="shared" si="5"/>
        <v>1577.2</v>
      </c>
      <c r="R83" s="3">
        <v>125.7</v>
      </c>
      <c r="S83" s="3">
        <v>126.4</v>
      </c>
      <c r="T83" s="3">
        <v>123.3</v>
      </c>
      <c r="U83" s="3">
        <v>126</v>
      </c>
      <c r="V83" s="69">
        <f t="shared" si="6"/>
        <v>375.7</v>
      </c>
      <c r="W83" s="75">
        <v>119.2</v>
      </c>
      <c r="X83" s="3">
        <v>120.9</v>
      </c>
      <c r="Y83" s="3">
        <v>121.2</v>
      </c>
      <c r="Z83" s="3">
        <f t="shared" si="7"/>
        <v>361.3</v>
      </c>
      <c r="AA83" s="3">
        <v>111.9</v>
      </c>
      <c r="AB83" s="3">
        <v>111.6</v>
      </c>
      <c r="AC83" s="3">
        <v>118.6</v>
      </c>
      <c r="AD83" s="68">
        <f t="shared" si="8"/>
        <v>230.2</v>
      </c>
      <c r="AE83" s="3">
        <v>119.9</v>
      </c>
      <c r="AF83" s="3">
        <v>116.2</v>
      </c>
      <c r="AG83" s="3">
        <v>116</v>
      </c>
      <c r="AH83" s="3">
        <v>121.5</v>
      </c>
      <c r="AI83" s="3">
        <f t="shared" si="9"/>
        <v>3255.6</v>
      </c>
    </row>
    <row r="84" spans="1:35">
      <c r="A84" s="3" t="s">
        <v>16</v>
      </c>
      <c r="B84" s="3">
        <v>2015</v>
      </c>
      <c r="C84" s="3" t="s">
        <v>29</v>
      </c>
      <c r="D84" s="3">
        <v>123.8</v>
      </c>
      <c r="E84" s="3">
        <v>128.2</v>
      </c>
      <c r="F84" s="3">
        <v>110</v>
      </c>
      <c r="G84" s="3">
        <v>126.3</v>
      </c>
      <c r="H84" s="3">
        <v>104.5</v>
      </c>
      <c r="I84" s="3">
        <v>130.6</v>
      </c>
      <c r="J84" s="3">
        <v>130.8</v>
      </c>
      <c r="K84" s="3">
        <v>131.3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68">
        <f t="shared" si="5"/>
        <v>1576.1</v>
      </c>
      <c r="R84" s="3">
        <v>130.1</v>
      </c>
      <c r="S84" s="3">
        <v>122.1</v>
      </c>
      <c r="T84" s="3">
        <v>117.2</v>
      </c>
      <c r="U84" s="3">
        <v>121.3</v>
      </c>
      <c r="V84" s="69">
        <f t="shared" si="6"/>
        <v>360.6</v>
      </c>
      <c r="W84" s="3">
        <v>119.2</v>
      </c>
      <c r="X84" s="3">
        <v>118.4</v>
      </c>
      <c r="Y84" s="3">
        <v>114.7</v>
      </c>
      <c r="Z84" s="3">
        <f t="shared" si="7"/>
        <v>352.3</v>
      </c>
      <c r="AA84" s="3">
        <v>108.4</v>
      </c>
      <c r="AB84" s="3">
        <v>111.8</v>
      </c>
      <c r="AC84" s="3">
        <v>114.6</v>
      </c>
      <c r="AD84" s="68">
        <f t="shared" si="8"/>
        <v>226.4</v>
      </c>
      <c r="AE84" s="3">
        <v>121.7</v>
      </c>
      <c r="AF84" s="3">
        <v>115.6</v>
      </c>
      <c r="AG84" s="3">
        <v>114.2</v>
      </c>
      <c r="AH84" s="3">
        <v>119.7</v>
      </c>
      <c r="AI84" s="3">
        <f t="shared" si="9"/>
        <v>3225.1</v>
      </c>
    </row>
    <row r="85" spans="1:35">
      <c r="A85" s="3" t="s">
        <v>17</v>
      </c>
      <c r="B85" s="3">
        <v>2015</v>
      </c>
      <c r="C85" s="3" t="s">
        <v>29</v>
      </c>
      <c r="D85" s="3">
        <v>123.5</v>
      </c>
      <c r="E85" s="3">
        <v>126.4</v>
      </c>
      <c r="F85" s="3">
        <v>114.4</v>
      </c>
      <c r="G85" s="3">
        <v>126.6</v>
      </c>
      <c r="H85" s="3">
        <v>109.2</v>
      </c>
      <c r="I85" s="3">
        <v>132.5</v>
      </c>
      <c r="J85" s="3">
        <v>128.6</v>
      </c>
      <c r="K85" s="3">
        <v>124.8</v>
      </c>
      <c r="L85" s="3">
        <v>95.7</v>
      </c>
      <c r="M85" s="3">
        <v>122.4</v>
      </c>
      <c r="N85" s="3">
        <v>118.5</v>
      </c>
      <c r="O85" s="3">
        <v>129.1</v>
      </c>
      <c r="P85" s="3">
        <v>124</v>
      </c>
      <c r="Q85" s="68">
        <f t="shared" si="5"/>
        <v>1575.7</v>
      </c>
      <c r="R85" s="3">
        <v>126.9</v>
      </c>
      <c r="S85" s="3">
        <v>124.7</v>
      </c>
      <c r="T85" s="3">
        <v>120.8</v>
      </c>
      <c r="U85" s="3">
        <v>124.1</v>
      </c>
      <c r="V85" s="69">
        <f t="shared" si="6"/>
        <v>369.6</v>
      </c>
      <c r="W85" s="3">
        <v>119.2</v>
      </c>
      <c r="X85" s="3">
        <v>119.7</v>
      </c>
      <c r="Y85" s="3">
        <v>118.7</v>
      </c>
      <c r="Z85" s="3">
        <f t="shared" si="7"/>
        <v>357.6</v>
      </c>
      <c r="AA85" s="3">
        <v>110.1</v>
      </c>
      <c r="AB85" s="3">
        <v>111.7</v>
      </c>
      <c r="AC85" s="3">
        <v>117.1</v>
      </c>
      <c r="AD85" s="68">
        <f t="shared" si="8"/>
        <v>228.8</v>
      </c>
      <c r="AE85" s="3">
        <v>121</v>
      </c>
      <c r="AF85" s="3">
        <v>115.9</v>
      </c>
      <c r="AG85" s="3">
        <v>115.1</v>
      </c>
      <c r="AH85" s="3">
        <v>120.7</v>
      </c>
      <c r="AI85" s="3">
        <f t="shared" si="9"/>
        <v>3241.4</v>
      </c>
    </row>
    <row r="86" spans="1:35">
      <c r="A86" s="3" t="s">
        <v>14</v>
      </c>
      <c r="B86" s="3">
        <v>2015</v>
      </c>
      <c r="C86" s="3" t="s">
        <v>15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</v>
      </c>
      <c r="P86" s="3">
        <v>124.4</v>
      </c>
      <c r="Q86" s="68">
        <f t="shared" si="5"/>
        <v>1587.7</v>
      </c>
      <c r="R86" s="3">
        <v>126.7</v>
      </c>
      <c r="S86" s="3">
        <v>127.3</v>
      </c>
      <c r="T86" s="3">
        <v>124.1</v>
      </c>
      <c r="U86" s="3">
        <v>126.8</v>
      </c>
      <c r="V86" s="69">
        <f t="shared" si="6"/>
        <v>378.2</v>
      </c>
      <c r="W86" s="75">
        <v>119.6</v>
      </c>
      <c r="X86" s="3">
        <v>121.5</v>
      </c>
      <c r="Y86" s="3">
        <v>121.9</v>
      </c>
      <c r="Z86" s="3">
        <f t="shared" si="7"/>
        <v>363</v>
      </c>
      <c r="AA86" s="3">
        <v>113.3</v>
      </c>
      <c r="AB86" s="3">
        <v>112.3</v>
      </c>
      <c r="AC86" s="3">
        <v>119.4</v>
      </c>
      <c r="AD86" s="68">
        <f t="shared" si="8"/>
        <v>231.7</v>
      </c>
      <c r="AE86" s="3">
        <v>120.5</v>
      </c>
      <c r="AF86" s="3">
        <v>116.7</v>
      </c>
      <c r="AG86" s="3">
        <v>116.9</v>
      </c>
      <c r="AH86" s="3">
        <v>122.4</v>
      </c>
      <c r="AI86" s="3">
        <f t="shared" si="9"/>
        <v>3277.1</v>
      </c>
    </row>
    <row r="87" spans="1:35">
      <c r="A87" s="3" t="s">
        <v>16</v>
      </c>
      <c r="B87" s="3">
        <v>2015</v>
      </c>
      <c r="C87" s="3" t="s">
        <v>15</v>
      </c>
      <c r="D87" s="3">
        <v>123.8</v>
      </c>
      <c r="E87" s="3">
        <v>129.7</v>
      </c>
      <c r="F87" s="3">
        <v>111.3</v>
      </c>
      <c r="G87" s="3">
        <v>126.6</v>
      </c>
      <c r="H87" s="3">
        <v>105.2</v>
      </c>
      <c r="I87" s="3">
        <v>130.8</v>
      </c>
      <c r="J87" s="3">
        <v>135.6</v>
      </c>
      <c r="K87" s="3">
        <v>142.6</v>
      </c>
      <c r="L87" s="3">
        <v>90.8</v>
      </c>
      <c r="M87" s="3">
        <v>128.8</v>
      </c>
      <c r="N87" s="3">
        <v>117.7</v>
      </c>
      <c r="O87" s="3">
        <v>129.9</v>
      </c>
      <c r="P87" s="3">
        <v>126.1</v>
      </c>
      <c r="Q87" s="68">
        <f t="shared" si="5"/>
        <v>1598.9</v>
      </c>
      <c r="R87" s="3">
        <v>131.3</v>
      </c>
      <c r="S87" s="3">
        <v>122.4</v>
      </c>
      <c r="T87" s="3">
        <v>117.4</v>
      </c>
      <c r="U87" s="3">
        <v>121.6</v>
      </c>
      <c r="V87" s="69">
        <f t="shared" si="6"/>
        <v>361.4</v>
      </c>
      <c r="W87" s="3">
        <v>119.6</v>
      </c>
      <c r="X87" s="3">
        <v>118.7</v>
      </c>
      <c r="Y87" s="3">
        <v>114.9</v>
      </c>
      <c r="Z87" s="3">
        <f t="shared" si="7"/>
        <v>353.2</v>
      </c>
      <c r="AA87" s="3">
        <v>110.8</v>
      </c>
      <c r="AB87" s="3">
        <v>112.4</v>
      </c>
      <c r="AC87" s="3">
        <v>114.9</v>
      </c>
      <c r="AD87" s="68">
        <f t="shared" si="8"/>
        <v>227.3</v>
      </c>
      <c r="AE87" s="3">
        <v>122</v>
      </c>
      <c r="AF87" s="3">
        <v>116</v>
      </c>
      <c r="AG87" s="3">
        <v>115.2</v>
      </c>
      <c r="AH87" s="3">
        <v>120.7</v>
      </c>
      <c r="AI87" s="3">
        <f t="shared" si="9"/>
        <v>3256.8</v>
      </c>
    </row>
    <row r="88" spans="1:35">
      <c r="A88" s="3" t="s">
        <v>17</v>
      </c>
      <c r="B88" s="3">
        <v>2015</v>
      </c>
      <c r="C88" s="3" t="s">
        <v>15</v>
      </c>
      <c r="D88" s="3">
        <v>123.6</v>
      </c>
      <c r="E88" s="3">
        <v>128</v>
      </c>
      <c r="F88" s="3">
        <v>115</v>
      </c>
      <c r="G88" s="3">
        <v>127.3</v>
      </c>
      <c r="H88" s="3">
        <v>109.8</v>
      </c>
      <c r="I88" s="3">
        <v>132.6</v>
      </c>
      <c r="J88" s="3">
        <v>130.9</v>
      </c>
      <c r="K88" s="3">
        <v>130.5</v>
      </c>
      <c r="L88" s="3">
        <v>95.3</v>
      </c>
      <c r="M88" s="3">
        <v>123.4</v>
      </c>
      <c r="N88" s="3">
        <v>119.2</v>
      </c>
      <c r="O88" s="3">
        <v>129.8</v>
      </c>
      <c r="P88" s="3">
        <v>125</v>
      </c>
      <c r="Q88" s="68">
        <f t="shared" si="5"/>
        <v>1590.4</v>
      </c>
      <c r="R88" s="3">
        <v>127.9</v>
      </c>
      <c r="S88" s="3">
        <v>125.4</v>
      </c>
      <c r="T88" s="3">
        <v>121.3</v>
      </c>
      <c r="U88" s="3">
        <v>124.7</v>
      </c>
      <c r="V88" s="69">
        <f t="shared" si="6"/>
        <v>371.4</v>
      </c>
      <c r="W88" s="3">
        <v>119.6</v>
      </c>
      <c r="X88" s="3">
        <v>120.2</v>
      </c>
      <c r="Y88" s="3">
        <v>119.2</v>
      </c>
      <c r="Z88" s="3">
        <f t="shared" si="7"/>
        <v>359</v>
      </c>
      <c r="AA88" s="3">
        <v>112</v>
      </c>
      <c r="AB88" s="3">
        <v>112.3</v>
      </c>
      <c r="AC88" s="3">
        <v>117.7</v>
      </c>
      <c r="AD88" s="68">
        <f t="shared" si="8"/>
        <v>230</v>
      </c>
      <c r="AE88" s="3">
        <v>121.4</v>
      </c>
      <c r="AF88" s="3">
        <v>116.3</v>
      </c>
      <c r="AG88" s="3">
        <v>116.1</v>
      </c>
      <c r="AH88" s="3">
        <v>121.6</v>
      </c>
      <c r="AI88" s="3">
        <f t="shared" si="9"/>
        <v>3266.1</v>
      </c>
    </row>
    <row r="89" spans="1:35">
      <c r="A89" s="3" t="s">
        <v>14</v>
      </c>
      <c r="B89" s="3">
        <v>2015</v>
      </c>
      <c r="C89" s="3" t="s">
        <v>30</v>
      </c>
      <c r="D89" s="3">
        <v>124.1</v>
      </c>
      <c r="E89" s="3">
        <v>130.4</v>
      </c>
      <c r="F89" s="3">
        <v>122.1</v>
      </c>
      <c r="G89" s="3">
        <v>128.7</v>
      </c>
      <c r="H89" s="3">
        <v>114.1</v>
      </c>
      <c r="I89" s="3">
        <v>133.2</v>
      </c>
      <c r="J89" s="3">
        <v>135.2</v>
      </c>
      <c r="K89" s="3">
        <v>131.9</v>
      </c>
      <c r="L89" s="3">
        <v>96.3</v>
      </c>
      <c r="M89" s="3">
        <v>123</v>
      </c>
      <c r="N89" s="3">
        <v>121.1</v>
      </c>
      <c r="O89" s="3">
        <v>131.2</v>
      </c>
      <c r="P89" s="3">
        <v>126.6</v>
      </c>
      <c r="Q89" s="68">
        <f t="shared" si="5"/>
        <v>1617.9</v>
      </c>
      <c r="R89" s="3">
        <v>128.2</v>
      </c>
      <c r="S89" s="3">
        <v>128.4</v>
      </c>
      <c r="T89" s="3">
        <v>125.1</v>
      </c>
      <c r="U89" s="3">
        <v>128</v>
      </c>
      <c r="V89" s="69">
        <f t="shared" si="6"/>
        <v>381.5</v>
      </c>
      <c r="W89" s="75">
        <v>119</v>
      </c>
      <c r="X89" s="3">
        <v>122.8</v>
      </c>
      <c r="Y89" s="3">
        <v>122.6</v>
      </c>
      <c r="Z89" s="3">
        <f t="shared" si="7"/>
        <v>364.4</v>
      </c>
      <c r="AA89" s="3">
        <v>114.2</v>
      </c>
      <c r="AB89" s="3">
        <v>113</v>
      </c>
      <c r="AC89" s="3">
        <v>120.4</v>
      </c>
      <c r="AD89" s="68">
        <f t="shared" si="8"/>
        <v>233.4</v>
      </c>
      <c r="AE89" s="3">
        <v>122</v>
      </c>
      <c r="AF89" s="3">
        <v>117.9</v>
      </c>
      <c r="AG89" s="3">
        <v>117.9</v>
      </c>
      <c r="AH89" s="3">
        <v>124.1</v>
      </c>
      <c r="AI89" s="3">
        <f t="shared" si="9"/>
        <v>3321.5</v>
      </c>
    </row>
    <row r="90" spans="1:35">
      <c r="A90" s="3" t="s">
        <v>16</v>
      </c>
      <c r="B90" s="3">
        <v>2015</v>
      </c>
      <c r="C90" s="3" t="s">
        <v>30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</v>
      </c>
      <c r="J90" s="3">
        <v>146.7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68">
        <f t="shared" si="5"/>
        <v>1636.6</v>
      </c>
      <c r="R90" s="3">
        <v>132.1</v>
      </c>
      <c r="S90" s="3">
        <v>123.2</v>
      </c>
      <c r="T90" s="3">
        <v>117.6</v>
      </c>
      <c r="U90" s="3">
        <v>122.3</v>
      </c>
      <c r="V90" s="69">
        <f t="shared" si="6"/>
        <v>363.1</v>
      </c>
      <c r="W90" s="3">
        <v>119</v>
      </c>
      <c r="X90" s="3">
        <v>119.2</v>
      </c>
      <c r="Y90" s="3">
        <v>115.1</v>
      </c>
      <c r="Z90" s="3">
        <f t="shared" si="7"/>
        <v>353.3</v>
      </c>
      <c r="AA90" s="3">
        <v>111.7</v>
      </c>
      <c r="AB90" s="3">
        <v>112.5</v>
      </c>
      <c r="AC90" s="3">
        <v>115.4</v>
      </c>
      <c r="AD90" s="68">
        <f t="shared" si="8"/>
        <v>227.9</v>
      </c>
      <c r="AE90" s="3">
        <v>123.8</v>
      </c>
      <c r="AF90" s="3">
        <v>116.2</v>
      </c>
      <c r="AG90" s="3">
        <v>116</v>
      </c>
      <c r="AH90" s="3">
        <v>121.7</v>
      </c>
      <c r="AI90" s="3">
        <f t="shared" si="9"/>
        <v>3302.4</v>
      </c>
    </row>
    <row r="91" spans="1:35">
      <c r="A91" s="3" t="s">
        <v>17</v>
      </c>
      <c r="B91" s="3">
        <v>2015</v>
      </c>
      <c r="C91" s="3" t="s">
        <v>30</v>
      </c>
      <c r="D91" s="3">
        <v>123.9</v>
      </c>
      <c r="E91" s="3">
        <v>131.8</v>
      </c>
      <c r="F91" s="3">
        <v>121.6</v>
      </c>
      <c r="G91" s="3">
        <v>128.2</v>
      </c>
      <c r="H91" s="3">
        <v>111.1</v>
      </c>
      <c r="I91" s="3">
        <v>132.8</v>
      </c>
      <c r="J91" s="3">
        <v>139.1</v>
      </c>
      <c r="K91" s="3">
        <v>137.4</v>
      </c>
      <c r="L91" s="3">
        <v>94.1</v>
      </c>
      <c r="M91" s="3">
        <v>125.5</v>
      </c>
      <c r="N91" s="3">
        <v>119.8</v>
      </c>
      <c r="O91" s="3">
        <v>130.9</v>
      </c>
      <c r="P91" s="3">
        <v>127.3</v>
      </c>
      <c r="Q91" s="68">
        <f t="shared" si="5"/>
        <v>1623.5</v>
      </c>
      <c r="R91" s="3">
        <v>129.2</v>
      </c>
      <c r="S91" s="3">
        <v>126.4</v>
      </c>
      <c r="T91" s="3">
        <v>122</v>
      </c>
      <c r="U91" s="3">
        <v>125.7</v>
      </c>
      <c r="V91" s="69">
        <f t="shared" si="6"/>
        <v>374.1</v>
      </c>
      <c r="W91" s="3">
        <v>119</v>
      </c>
      <c r="X91" s="3">
        <v>121.1</v>
      </c>
      <c r="Y91" s="3">
        <v>119.8</v>
      </c>
      <c r="Z91" s="3">
        <f t="shared" si="7"/>
        <v>359.9</v>
      </c>
      <c r="AA91" s="3">
        <v>112.9</v>
      </c>
      <c r="AB91" s="3">
        <v>112.8</v>
      </c>
      <c r="AC91" s="3">
        <v>118.5</v>
      </c>
      <c r="AD91" s="68">
        <f t="shared" si="8"/>
        <v>231.3</v>
      </c>
      <c r="AE91" s="3">
        <v>123.1</v>
      </c>
      <c r="AF91" s="3">
        <v>116.9</v>
      </c>
      <c r="AG91" s="3">
        <v>117</v>
      </c>
      <c r="AH91" s="3">
        <v>123</v>
      </c>
      <c r="AI91" s="3">
        <f t="shared" si="9"/>
        <v>3310.9</v>
      </c>
    </row>
    <row r="92" spans="1:35">
      <c r="A92" s="3" t="s">
        <v>14</v>
      </c>
      <c r="B92" s="3">
        <v>2015</v>
      </c>
      <c r="C92" s="3" t="s">
        <v>31</v>
      </c>
      <c r="D92" s="3">
        <v>124</v>
      </c>
      <c r="E92" s="3">
        <v>131.5</v>
      </c>
      <c r="F92" s="3">
        <v>122</v>
      </c>
      <c r="G92" s="3">
        <v>128.7</v>
      </c>
      <c r="H92" s="3">
        <v>113.5</v>
      </c>
      <c r="I92" s="3">
        <v>133.3</v>
      </c>
      <c r="J92" s="3">
        <v>140.8</v>
      </c>
      <c r="K92" s="3">
        <v>133.8</v>
      </c>
      <c r="L92" s="3">
        <v>94.1</v>
      </c>
      <c r="M92" s="3">
        <v>123.4</v>
      </c>
      <c r="N92" s="3">
        <v>121</v>
      </c>
      <c r="O92" s="3">
        <v>131.7</v>
      </c>
      <c r="P92" s="3">
        <v>127.5</v>
      </c>
      <c r="Q92" s="68">
        <f t="shared" si="5"/>
        <v>1625.3</v>
      </c>
      <c r="R92" s="3">
        <v>129.4</v>
      </c>
      <c r="S92" s="3">
        <v>128.8</v>
      </c>
      <c r="T92" s="3">
        <v>125.5</v>
      </c>
      <c r="U92" s="3">
        <v>128.3</v>
      </c>
      <c r="V92" s="69">
        <f t="shared" si="6"/>
        <v>382.6</v>
      </c>
      <c r="W92" s="75">
        <v>119.9</v>
      </c>
      <c r="X92" s="3">
        <v>123</v>
      </c>
      <c r="Y92" s="3">
        <v>123</v>
      </c>
      <c r="Z92" s="3">
        <f t="shared" si="7"/>
        <v>365.9</v>
      </c>
      <c r="AA92" s="3">
        <v>114.1</v>
      </c>
      <c r="AB92" s="3">
        <v>112.7</v>
      </c>
      <c r="AC92" s="3">
        <v>120.8</v>
      </c>
      <c r="AD92" s="68">
        <f t="shared" si="8"/>
        <v>233.5</v>
      </c>
      <c r="AE92" s="3">
        <v>122.9</v>
      </c>
      <c r="AF92" s="3">
        <v>118</v>
      </c>
      <c r="AG92" s="3">
        <v>118.1</v>
      </c>
      <c r="AH92" s="3">
        <v>124.7</v>
      </c>
      <c r="AI92" s="3">
        <f t="shared" si="9"/>
        <v>3334.5</v>
      </c>
    </row>
    <row r="93" spans="1:35">
      <c r="A93" s="3" t="s">
        <v>16</v>
      </c>
      <c r="B93" s="3">
        <v>2015</v>
      </c>
      <c r="C93" s="3" t="s">
        <v>31</v>
      </c>
      <c r="D93" s="3">
        <v>123.2</v>
      </c>
      <c r="E93" s="3">
        <v>134.3</v>
      </c>
      <c r="F93" s="3">
        <v>119.5</v>
      </c>
      <c r="G93" s="3">
        <v>127.7</v>
      </c>
      <c r="H93" s="3">
        <v>106.3</v>
      </c>
      <c r="I93" s="3">
        <v>132.8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68">
        <f t="shared" si="5"/>
        <v>1642.9</v>
      </c>
      <c r="R93" s="3">
        <v>133.1</v>
      </c>
      <c r="S93" s="3">
        <v>123.5</v>
      </c>
      <c r="T93" s="3">
        <v>117.9</v>
      </c>
      <c r="U93" s="3">
        <v>122.7</v>
      </c>
      <c r="V93" s="69">
        <f t="shared" si="6"/>
        <v>364.1</v>
      </c>
      <c r="W93" s="3">
        <v>119.9</v>
      </c>
      <c r="X93" s="3">
        <v>119.5</v>
      </c>
      <c r="Y93" s="3">
        <v>115.3</v>
      </c>
      <c r="Z93" s="3">
        <f t="shared" si="7"/>
        <v>354.7</v>
      </c>
      <c r="AA93" s="3">
        <v>111.5</v>
      </c>
      <c r="AB93" s="3">
        <v>111.7</v>
      </c>
      <c r="AC93" s="3">
        <v>116</v>
      </c>
      <c r="AD93" s="68">
        <f t="shared" si="8"/>
        <v>227.7</v>
      </c>
      <c r="AE93" s="3">
        <v>125.4</v>
      </c>
      <c r="AF93" s="3">
        <v>116.6</v>
      </c>
      <c r="AG93" s="3">
        <v>116.3</v>
      </c>
      <c r="AH93" s="3">
        <v>122.4</v>
      </c>
      <c r="AI93" s="3">
        <f t="shared" si="9"/>
        <v>3314.7</v>
      </c>
    </row>
    <row r="94" spans="1:35">
      <c r="A94" s="3" t="s">
        <v>17</v>
      </c>
      <c r="B94" s="3">
        <v>2015</v>
      </c>
      <c r="C94" s="3" t="s">
        <v>31</v>
      </c>
      <c r="D94" s="3">
        <v>123.7</v>
      </c>
      <c r="E94" s="3">
        <v>132.5</v>
      </c>
      <c r="F94" s="3">
        <v>121</v>
      </c>
      <c r="G94" s="3">
        <v>128.3</v>
      </c>
      <c r="H94" s="3">
        <v>110.9</v>
      </c>
      <c r="I94" s="3">
        <v>133.1</v>
      </c>
      <c r="J94" s="3">
        <v>145.1</v>
      </c>
      <c r="K94" s="3">
        <v>139.1</v>
      </c>
      <c r="L94" s="3">
        <v>91.3</v>
      </c>
      <c r="M94" s="3">
        <v>126.1</v>
      </c>
      <c r="N94" s="3">
        <v>119.9</v>
      </c>
      <c r="O94" s="3">
        <v>131.4</v>
      </c>
      <c r="P94" s="3">
        <v>128.2</v>
      </c>
      <c r="Q94" s="68">
        <f t="shared" si="5"/>
        <v>1630.6</v>
      </c>
      <c r="R94" s="3">
        <v>130.4</v>
      </c>
      <c r="S94" s="3">
        <v>126.7</v>
      </c>
      <c r="T94" s="3">
        <v>122.3</v>
      </c>
      <c r="U94" s="3">
        <v>126.1</v>
      </c>
      <c r="V94" s="69">
        <f t="shared" si="6"/>
        <v>375.1</v>
      </c>
      <c r="W94" s="3">
        <v>119.9</v>
      </c>
      <c r="X94" s="3">
        <v>121.3</v>
      </c>
      <c r="Y94" s="3">
        <v>120.1</v>
      </c>
      <c r="Z94" s="3">
        <f t="shared" si="7"/>
        <v>361.3</v>
      </c>
      <c r="AA94" s="3">
        <v>112.7</v>
      </c>
      <c r="AB94" s="3">
        <v>112.3</v>
      </c>
      <c r="AC94" s="3">
        <v>119</v>
      </c>
      <c r="AD94" s="68">
        <f t="shared" si="8"/>
        <v>231.3</v>
      </c>
      <c r="AE94" s="3">
        <v>124.4</v>
      </c>
      <c r="AF94" s="3">
        <v>117.2</v>
      </c>
      <c r="AG94" s="3">
        <v>117.2</v>
      </c>
      <c r="AH94" s="3">
        <v>123.6</v>
      </c>
      <c r="AI94" s="3">
        <f t="shared" si="9"/>
        <v>3323.8</v>
      </c>
    </row>
    <row r="95" spans="1:35">
      <c r="A95" s="3" t="s">
        <v>14</v>
      </c>
      <c r="B95" s="3">
        <v>2015</v>
      </c>
      <c r="C95" s="3" t="s">
        <v>32</v>
      </c>
      <c r="D95" s="3">
        <v>124.7</v>
      </c>
      <c r="E95" s="3">
        <v>131.3</v>
      </c>
      <c r="F95" s="3">
        <v>121.3</v>
      </c>
      <c r="G95" s="3">
        <v>128.8</v>
      </c>
      <c r="H95" s="3">
        <v>114</v>
      </c>
      <c r="I95" s="3">
        <v>134.2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</v>
      </c>
      <c r="Q95" s="68">
        <f t="shared" si="5"/>
        <v>1646.6</v>
      </c>
      <c r="R95" s="3">
        <v>130.1</v>
      </c>
      <c r="S95" s="3">
        <v>129.5</v>
      </c>
      <c r="T95" s="3">
        <v>126.3</v>
      </c>
      <c r="U95" s="3">
        <v>129</v>
      </c>
      <c r="V95" s="69">
        <f t="shared" si="6"/>
        <v>384.8</v>
      </c>
      <c r="W95" s="75">
        <v>120.9</v>
      </c>
      <c r="X95" s="3">
        <v>123.7</v>
      </c>
      <c r="Y95" s="3">
        <v>123.8</v>
      </c>
      <c r="Z95" s="3">
        <f t="shared" si="7"/>
        <v>368.4</v>
      </c>
      <c r="AA95" s="3">
        <v>113.6</v>
      </c>
      <c r="AB95" s="3">
        <v>112.5</v>
      </c>
      <c r="AC95" s="3">
        <v>121.1</v>
      </c>
      <c r="AD95" s="68">
        <f t="shared" si="8"/>
        <v>233.6</v>
      </c>
      <c r="AE95" s="3">
        <v>123.6</v>
      </c>
      <c r="AF95" s="3">
        <v>118.5</v>
      </c>
      <c r="AG95" s="3">
        <v>118.2</v>
      </c>
      <c r="AH95" s="3">
        <v>126.1</v>
      </c>
      <c r="AI95" s="3">
        <f t="shared" si="9"/>
        <v>3363.5</v>
      </c>
    </row>
    <row r="96" spans="1:35">
      <c r="A96" s="3" t="s">
        <v>16</v>
      </c>
      <c r="B96" s="3">
        <v>2015</v>
      </c>
      <c r="C96" s="3" t="s">
        <v>32</v>
      </c>
      <c r="D96" s="3">
        <v>123.1</v>
      </c>
      <c r="E96" s="3">
        <v>131.7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132.7</v>
      </c>
      <c r="N96" s="3">
        <v>118.8</v>
      </c>
      <c r="O96" s="3">
        <v>131.7</v>
      </c>
      <c r="P96" s="3">
        <v>131.1</v>
      </c>
      <c r="Q96" s="68">
        <f t="shared" si="5"/>
        <v>1658.9</v>
      </c>
      <c r="R96" s="3">
        <v>134.2</v>
      </c>
      <c r="S96" s="3">
        <v>123.7</v>
      </c>
      <c r="T96" s="3">
        <v>118.2</v>
      </c>
      <c r="U96" s="3">
        <v>122.9</v>
      </c>
      <c r="V96" s="69">
        <f t="shared" si="6"/>
        <v>364.8</v>
      </c>
      <c r="W96" s="3">
        <v>120.9</v>
      </c>
      <c r="X96" s="3">
        <v>120</v>
      </c>
      <c r="Y96" s="3">
        <v>115.3</v>
      </c>
      <c r="Z96" s="3">
        <f t="shared" si="7"/>
        <v>356.2</v>
      </c>
      <c r="AA96" s="3">
        <v>109.9</v>
      </c>
      <c r="AB96" s="3">
        <v>112</v>
      </c>
      <c r="AC96" s="3">
        <v>116.6</v>
      </c>
      <c r="AD96" s="68">
        <f t="shared" si="8"/>
        <v>228.6</v>
      </c>
      <c r="AE96" s="3">
        <v>126.2</v>
      </c>
      <c r="AF96" s="3">
        <v>117.2</v>
      </c>
      <c r="AG96" s="3">
        <v>116.2</v>
      </c>
      <c r="AH96" s="3">
        <v>123.2</v>
      </c>
      <c r="AI96" s="3">
        <f t="shared" si="9"/>
        <v>3335.4</v>
      </c>
    </row>
    <row r="97" spans="1:35">
      <c r="A97" s="3" t="s">
        <v>17</v>
      </c>
      <c r="B97" s="3">
        <v>2015</v>
      </c>
      <c r="C97" s="3" t="s">
        <v>32</v>
      </c>
      <c r="D97" s="3">
        <v>124.2</v>
      </c>
      <c r="E97" s="3">
        <v>131.4</v>
      </c>
      <c r="F97" s="3">
        <v>120.1</v>
      </c>
      <c r="G97" s="3">
        <v>128.5</v>
      </c>
      <c r="H97" s="3">
        <v>111.4</v>
      </c>
      <c r="I97" s="3">
        <v>132.3</v>
      </c>
      <c r="J97" s="3">
        <v>157.6</v>
      </c>
      <c r="K97" s="3">
        <v>144</v>
      </c>
      <c r="L97" s="3">
        <v>90.5</v>
      </c>
      <c r="M97" s="3">
        <v>126.8</v>
      </c>
      <c r="N97" s="3">
        <v>120.4</v>
      </c>
      <c r="O97" s="3">
        <v>132.1</v>
      </c>
      <c r="P97" s="3">
        <v>130.3</v>
      </c>
      <c r="Q97" s="68">
        <f t="shared" si="5"/>
        <v>1649.6</v>
      </c>
      <c r="R97" s="3">
        <v>131.2</v>
      </c>
      <c r="S97" s="3">
        <v>127.2</v>
      </c>
      <c r="T97" s="3">
        <v>122.9</v>
      </c>
      <c r="U97" s="3">
        <v>126.6</v>
      </c>
      <c r="V97" s="69">
        <f t="shared" si="6"/>
        <v>376.7</v>
      </c>
      <c r="W97" s="3">
        <v>120.9</v>
      </c>
      <c r="X97" s="3">
        <v>122</v>
      </c>
      <c r="Y97" s="3">
        <v>120.6</v>
      </c>
      <c r="Z97" s="3">
        <f t="shared" si="7"/>
        <v>363.5</v>
      </c>
      <c r="AA97" s="3">
        <v>111.7</v>
      </c>
      <c r="AB97" s="3">
        <v>112.3</v>
      </c>
      <c r="AC97" s="3">
        <v>119.4</v>
      </c>
      <c r="AD97" s="68">
        <f t="shared" si="8"/>
        <v>231.7</v>
      </c>
      <c r="AE97" s="3">
        <v>125.1</v>
      </c>
      <c r="AF97" s="3">
        <v>117.8</v>
      </c>
      <c r="AG97" s="3">
        <v>117.2</v>
      </c>
      <c r="AH97" s="3">
        <v>124.8</v>
      </c>
      <c r="AI97" s="3">
        <f t="shared" si="9"/>
        <v>3349.3</v>
      </c>
    </row>
    <row r="98" spans="1:35">
      <c r="A98" s="3" t="s">
        <v>14</v>
      </c>
      <c r="B98" s="3">
        <v>2015</v>
      </c>
      <c r="C98" s="3" t="s">
        <v>33</v>
      </c>
      <c r="D98" s="3">
        <v>125.1</v>
      </c>
      <c r="E98" s="3">
        <v>131.1</v>
      </c>
      <c r="F98" s="3">
        <v>120.7</v>
      </c>
      <c r="G98" s="3">
        <v>129.2</v>
      </c>
      <c r="H98" s="3">
        <v>114.7</v>
      </c>
      <c r="I98" s="3">
        <v>132.3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132.7</v>
      </c>
      <c r="P98" s="3">
        <v>131</v>
      </c>
      <c r="Q98" s="68">
        <f t="shared" si="5"/>
        <v>1657.6</v>
      </c>
      <c r="R98" s="3">
        <v>131</v>
      </c>
      <c r="S98" s="3">
        <v>130.4</v>
      </c>
      <c r="T98" s="3">
        <v>126.8</v>
      </c>
      <c r="U98" s="3">
        <v>129.9</v>
      </c>
      <c r="V98" s="69">
        <f t="shared" si="6"/>
        <v>387.1</v>
      </c>
      <c r="W98" s="75">
        <v>121.6</v>
      </c>
      <c r="X98" s="3">
        <v>124.5</v>
      </c>
      <c r="Y98" s="3">
        <v>123.7</v>
      </c>
      <c r="Z98" s="3">
        <f t="shared" si="7"/>
        <v>369.8</v>
      </c>
      <c r="AA98" s="3">
        <v>113.8</v>
      </c>
      <c r="AB98" s="3">
        <v>113.7</v>
      </c>
      <c r="AC98" s="3">
        <v>121.4</v>
      </c>
      <c r="AD98" s="68">
        <f t="shared" si="8"/>
        <v>235.1</v>
      </c>
      <c r="AE98" s="3">
        <v>124.5</v>
      </c>
      <c r="AF98" s="3">
        <v>119.6</v>
      </c>
      <c r="AG98" s="3">
        <v>118.8</v>
      </c>
      <c r="AH98" s="3">
        <v>127</v>
      </c>
      <c r="AI98" s="3">
        <f t="shared" si="9"/>
        <v>3384.3</v>
      </c>
    </row>
    <row r="99" spans="1:35">
      <c r="A99" s="3" t="s">
        <v>16</v>
      </c>
      <c r="B99" s="3">
        <v>2015</v>
      </c>
      <c r="C99" s="3" t="s">
        <v>33</v>
      </c>
      <c r="D99" s="3">
        <v>123.4</v>
      </c>
      <c r="E99" s="3">
        <v>129</v>
      </c>
      <c r="F99" s="3">
        <v>115.6</v>
      </c>
      <c r="G99" s="3">
        <v>128.3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</v>
      </c>
      <c r="P99" s="3">
        <v>131.5</v>
      </c>
      <c r="Q99" s="68">
        <f t="shared" si="5"/>
        <v>1664.8</v>
      </c>
      <c r="R99" s="3">
        <v>134.7</v>
      </c>
      <c r="S99" s="3">
        <v>124</v>
      </c>
      <c r="T99" s="3">
        <v>118.6</v>
      </c>
      <c r="U99" s="3">
        <v>123.2</v>
      </c>
      <c r="V99" s="69">
        <f t="shared" si="6"/>
        <v>365.8</v>
      </c>
      <c r="W99" s="3">
        <v>121.6</v>
      </c>
      <c r="X99" s="3">
        <v>120.4</v>
      </c>
      <c r="Y99" s="3">
        <v>115.1</v>
      </c>
      <c r="Z99" s="3">
        <f t="shared" si="7"/>
        <v>357.1</v>
      </c>
      <c r="AA99" s="3">
        <v>109.1</v>
      </c>
      <c r="AB99" s="3">
        <v>112.9</v>
      </c>
      <c r="AC99" s="3">
        <v>117.1</v>
      </c>
      <c r="AD99" s="68">
        <f t="shared" si="8"/>
        <v>230</v>
      </c>
      <c r="AE99" s="3">
        <v>126.5</v>
      </c>
      <c r="AF99" s="3">
        <v>117.3</v>
      </c>
      <c r="AG99" s="3">
        <v>116.2</v>
      </c>
      <c r="AH99" s="3">
        <v>123.5</v>
      </c>
      <c r="AI99" s="3">
        <f t="shared" si="9"/>
        <v>3345</v>
      </c>
    </row>
    <row r="100" spans="1:35">
      <c r="A100" s="3" t="s">
        <v>17</v>
      </c>
      <c r="B100" s="3">
        <v>2015</v>
      </c>
      <c r="C100" s="3" t="s">
        <v>33</v>
      </c>
      <c r="D100" s="3">
        <v>124.6</v>
      </c>
      <c r="E100" s="3">
        <v>130.4</v>
      </c>
      <c r="F100" s="3">
        <v>118.7</v>
      </c>
      <c r="G100" s="3">
        <v>128.9</v>
      </c>
      <c r="H100" s="3">
        <v>111.9</v>
      </c>
      <c r="I100" s="3">
        <v>128.4</v>
      </c>
      <c r="J100" s="3">
        <v>162.2</v>
      </c>
      <c r="K100" s="3">
        <v>150</v>
      </c>
      <c r="L100" s="3">
        <v>90.4</v>
      </c>
      <c r="M100" s="3">
        <v>128.4</v>
      </c>
      <c r="N100" s="3">
        <v>120.7</v>
      </c>
      <c r="O100" s="3">
        <v>132.5</v>
      </c>
      <c r="P100" s="3">
        <v>131.2</v>
      </c>
      <c r="Q100" s="68">
        <f t="shared" si="5"/>
        <v>1658.3</v>
      </c>
      <c r="R100" s="3">
        <v>132</v>
      </c>
      <c r="S100" s="3">
        <v>127.9</v>
      </c>
      <c r="T100" s="3">
        <v>123.4</v>
      </c>
      <c r="U100" s="3">
        <v>127.2</v>
      </c>
      <c r="V100" s="69">
        <f t="shared" si="6"/>
        <v>378.5</v>
      </c>
      <c r="W100" s="3">
        <v>121.6</v>
      </c>
      <c r="X100" s="3">
        <v>122.6</v>
      </c>
      <c r="Y100" s="3">
        <v>120.4</v>
      </c>
      <c r="Z100" s="3">
        <f t="shared" si="7"/>
        <v>364.6</v>
      </c>
      <c r="AA100" s="3">
        <v>111.3</v>
      </c>
      <c r="AB100" s="3">
        <v>113.4</v>
      </c>
      <c r="AC100" s="3">
        <v>119.8</v>
      </c>
      <c r="AD100" s="68">
        <f t="shared" si="8"/>
        <v>233.2</v>
      </c>
      <c r="AE100" s="3">
        <v>125.7</v>
      </c>
      <c r="AF100" s="3">
        <v>118.3</v>
      </c>
      <c r="AG100" s="3">
        <v>117.5</v>
      </c>
      <c r="AH100" s="3">
        <v>125.4</v>
      </c>
      <c r="AI100" s="3">
        <f t="shared" si="9"/>
        <v>3364.8</v>
      </c>
    </row>
    <row r="101" spans="1:35">
      <c r="A101" s="3" t="s">
        <v>14</v>
      </c>
      <c r="B101" s="3">
        <v>2015</v>
      </c>
      <c r="C101" s="3" t="s">
        <v>34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133.2</v>
      </c>
      <c r="J101" s="3">
        <v>157.7</v>
      </c>
      <c r="K101" s="3">
        <v>154.2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</v>
      </c>
      <c r="Q101" s="68">
        <f t="shared" si="5"/>
        <v>1674.6</v>
      </c>
      <c r="R101" s="3">
        <v>131.5</v>
      </c>
      <c r="S101" s="3">
        <v>131.1</v>
      </c>
      <c r="T101" s="3">
        <v>127.3</v>
      </c>
      <c r="U101" s="3">
        <v>130.6</v>
      </c>
      <c r="V101" s="69">
        <f t="shared" si="6"/>
        <v>389</v>
      </c>
      <c r="W101" s="75">
        <v>122.4</v>
      </c>
      <c r="X101" s="3">
        <v>125.1</v>
      </c>
      <c r="Y101" s="3">
        <v>124.4</v>
      </c>
      <c r="Z101" s="3">
        <f t="shared" si="7"/>
        <v>371.9</v>
      </c>
      <c r="AA101" s="3">
        <v>113.8</v>
      </c>
      <c r="AB101" s="3">
        <v>114.2</v>
      </c>
      <c r="AC101" s="3">
        <v>122</v>
      </c>
      <c r="AD101" s="68">
        <f t="shared" si="8"/>
        <v>236.2</v>
      </c>
      <c r="AE101" s="3">
        <v>125.1</v>
      </c>
      <c r="AF101" s="3">
        <v>120.1</v>
      </c>
      <c r="AG101" s="3">
        <v>119.2</v>
      </c>
      <c r="AH101" s="3">
        <v>127.7</v>
      </c>
      <c r="AI101" s="3">
        <f t="shared" si="9"/>
        <v>3409.1</v>
      </c>
    </row>
    <row r="102" spans="1:35">
      <c r="A102" s="3" t="s">
        <v>16</v>
      </c>
      <c r="B102" s="3">
        <v>2015</v>
      </c>
      <c r="C102" s="3" t="s">
        <v>34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</v>
      </c>
      <c r="N102" s="3">
        <v>119.4</v>
      </c>
      <c r="O102" s="3">
        <v>132.9</v>
      </c>
      <c r="P102" s="3">
        <v>132.6</v>
      </c>
      <c r="Q102" s="68">
        <f t="shared" si="5"/>
        <v>1692.8</v>
      </c>
      <c r="R102" s="3">
        <v>135.3</v>
      </c>
      <c r="S102" s="3">
        <v>124.4</v>
      </c>
      <c r="T102" s="3">
        <v>118.8</v>
      </c>
      <c r="U102" s="3">
        <v>123.6</v>
      </c>
      <c r="V102" s="69">
        <f t="shared" si="6"/>
        <v>366.8</v>
      </c>
      <c r="W102" s="3">
        <v>122.4</v>
      </c>
      <c r="X102" s="3">
        <v>120.7</v>
      </c>
      <c r="Y102" s="3">
        <v>114.9</v>
      </c>
      <c r="Z102" s="3">
        <f t="shared" si="7"/>
        <v>358</v>
      </c>
      <c r="AA102" s="3">
        <v>109.3</v>
      </c>
      <c r="AB102" s="3">
        <v>113.5</v>
      </c>
      <c r="AC102" s="3">
        <v>117.7</v>
      </c>
      <c r="AD102" s="68">
        <f t="shared" si="8"/>
        <v>231.2</v>
      </c>
      <c r="AE102" s="3">
        <v>126.5</v>
      </c>
      <c r="AF102" s="3">
        <v>117.7</v>
      </c>
      <c r="AG102" s="3">
        <v>116.5</v>
      </c>
      <c r="AH102" s="3">
        <v>124.2</v>
      </c>
      <c r="AI102" s="3">
        <f t="shared" si="9"/>
        <v>3378.3</v>
      </c>
    </row>
    <row r="103" spans="1:35">
      <c r="A103" s="3" t="s">
        <v>17</v>
      </c>
      <c r="B103" s="3">
        <v>2015</v>
      </c>
      <c r="C103" s="3" t="s">
        <v>34</v>
      </c>
      <c r="D103" s="3">
        <v>125</v>
      </c>
      <c r="E103" s="3">
        <v>129.8</v>
      </c>
      <c r="F103" s="3">
        <v>118.9</v>
      </c>
      <c r="G103" s="3">
        <v>129.1</v>
      </c>
      <c r="H103" s="3">
        <v>113.3</v>
      </c>
      <c r="I103" s="3">
        <v>129</v>
      </c>
      <c r="J103" s="3">
        <v>160.4</v>
      </c>
      <c r="K103" s="3">
        <v>165.3</v>
      </c>
      <c r="L103" s="3">
        <v>92.3</v>
      </c>
      <c r="M103" s="3">
        <v>129.7</v>
      </c>
      <c r="N103" s="3">
        <v>121.1</v>
      </c>
      <c r="O103" s="3">
        <v>133</v>
      </c>
      <c r="P103" s="3">
        <v>132.1</v>
      </c>
      <c r="Q103" s="68">
        <f t="shared" si="5"/>
        <v>1679</v>
      </c>
      <c r="R103" s="3">
        <v>132.5</v>
      </c>
      <c r="S103" s="3">
        <v>128.5</v>
      </c>
      <c r="T103" s="3">
        <v>123.8</v>
      </c>
      <c r="U103" s="3">
        <v>127.8</v>
      </c>
      <c r="V103" s="69">
        <f t="shared" si="6"/>
        <v>380.1</v>
      </c>
      <c r="W103" s="3">
        <v>122.4</v>
      </c>
      <c r="X103" s="3">
        <v>123</v>
      </c>
      <c r="Y103" s="3">
        <v>120.8</v>
      </c>
      <c r="Z103" s="3">
        <f t="shared" si="7"/>
        <v>366.2</v>
      </c>
      <c r="AA103" s="3">
        <v>111.4</v>
      </c>
      <c r="AB103" s="3">
        <v>113.9</v>
      </c>
      <c r="AC103" s="3">
        <v>120.4</v>
      </c>
      <c r="AD103" s="68">
        <f t="shared" si="8"/>
        <v>234.3</v>
      </c>
      <c r="AE103" s="3">
        <v>125.9</v>
      </c>
      <c r="AF103" s="3">
        <v>118.7</v>
      </c>
      <c r="AG103" s="3">
        <v>117.9</v>
      </c>
      <c r="AH103" s="3">
        <v>126.1</v>
      </c>
      <c r="AI103" s="3">
        <f t="shared" si="9"/>
        <v>3392.1</v>
      </c>
    </row>
    <row r="104" spans="1:35">
      <c r="A104" s="3" t="s">
        <v>14</v>
      </c>
      <c r="B104" s="3">
        <v>2015</v>
      </c>
      <c r="C104" s="3" t="s">
        <v>36</v>
      </c>
      <c r="D104" s="3">
        <v>126.1</v>
      </c>
      <c r="E104" s="3">
        <v>130.6</v>
      </c>
      <c r="F104" s="3">
        <v>121.7</v>
      </c>
      <c r="G104" s="3">
        <v>129.5</v>
      </c>
      <c r="H104" s="3">
        <v>117.8</v>
      </c>
      <c r="I104" s="3">
        <v>132.1</v>
      </c>
      <c r="J104" s="3">
        <v>155.2</v>
      </c>
      <c r="K104" s="3">
        <v>160.8</v>
      </c>
      <c r="L104" s="3">
        <v>94.5</v>
      </c>
      <c r="M104" s="3">
        <v>128.3</v>
      </c>
      <c r="N104" s="3">
        <v>123.1</v>
      </c>
      <c r="O104" s="3">
        <v>134.2</v>
      </c>
      <c r="P104" s="3">
        <v>132.4</v>
      </c>
      <c r="Q104" s="68">
        <f t="shared" si="5"/>
        <v>1686.3</v>
      </c>
      <c r="R104" s="3">
        <v>132.2</v>
      </c>
      <c r="S104" s="3">
        <v>132.1</v>
      </c>
      <c r="T104" s="3">
        <v>128.2</v>
      </c>
      <c r="U104" s="3">
        <v>131.5</v>
      </c>
      <c r="V104" s="69">
        <f t="shared" si="6"/>
        <v>391.8</v>
      </c>
      <c r="W104" s="75">
        <v>122.9</v>
      </c>
      <c r="X104" s="3">
        <v>125.6</v>
      </c>
      <c r="Y104" s="3">
        <v>125.6</v>
      </c>
      <c r="Z104" s="3">
        <f t="shared" si="7"/>
        <v>374.1</v>
      </c>
      <c r="AA104" s="3">
        <v>114</v>
      </c>
      <c r="AB104" s="3">
        <v>114.2</v>
      </c>
      <c r="AC104" s="3">
        <v>122.6</v>
      </c>
      <c r="AD104" s="68">
        <f t="shared" si="8"/>
        <v>236.8</v>
      </c>
      <c r="AE104" s="3">
        <v>125.8</v>
      </c>
      <c r="AF104" s="3">
        <v>120.9</v>
      </c>
      <c r="AG104" s="3">
        <v>119.6</v>
      </c>
      <c r="AH104" s="3">
        <v>128.3</v>
      </c>
      <c r="AI104" s="3">
        <f t="shared" si="9"/>
        <v>3429.8</v>
      </c>
    </row>
    <row r="105" spans="1:35">
      <c r="A105" s="3" t="s">
        <v>16</v>
      </c>
      <c r="B105" s="3">
        <v>2015</v>
      </c>
      <c r="C105" s="3" t="s">
        <v>36</v>
      </c>
      <c r="D105" s="3">
        <v>124</v>
      </c>
      <c r="E105" s="3">
        <v>129.8</v>
      </c>
      <c r="F105" s="3">
        <v>121.5</v>
      </c>
      <c r="G105" s="3">
        <v>128.6</v>
      </c>
      <c r="H105" s="3">
        <v>110</v>
      </c>
      <c r="I105" s="3">
        <v>123.7</v>
      </c>
      <c r="J105" s="3">
        <v>164.6</v>
      </c>
      <c r="K105" s="3">
        <v>191.6</v>
      </c>
      <c r="L105" s="3">
        <v>90.8</v>
      </c>
      <c r="M105" s="3">
        <v>137.1</v>
      </c>
      <c r="N105" s="3">
        <v>119.8</v>
      </c>
      <c r="O105" s="3">
        <v>133.7</v>
      </c>
      <c r="P105" s="3">
        <v>133.3</v>
      </c>
      <c r="Q105" s="68">
        <f t="shared" si="5"/>
        <v>1708.5</v>
      </c>
      <c r="R105" s="3">
        <v>137.6</v>
      </c>
      <c r="S105" s="3">
        <v>125</v>
      </c>
      <c r="T105" s="3">
        <v>119.3</v>
      </c>
      <c r="U105" s="3">
        <v>124.2</v>
      </c>
      <c r="V105" s="69">
        <f t="shared" si="6"/>
        <v>368.5</v>
      </c>
      <c r="W105" s="3">
        <v>122.9</v>
      </c>
      <c r="X105" s="3">
        <v>121</v>
      </c>
      <c r="Y105" s="3">
        <v>115.1</v>
      </c>
      <c r="Z105" s="3">
        <f t="shared" si="7"/>
        <v>359</v>
      </c>
      <c r="AA105" s="3">
        <v>109.3</v>
      </c>
      <c r="AB105" s="3">
        <v>113.3</v>
      </c>
      <c r="AC105" s="3">
        <v>118.1</v>
      </c>
      <c r="AD105" s="68">
        <f t="shared" si="8"/>
        <v>231.4</v>
      </c>
      <c r="AE105" s="3">
        <v>126.6</v>
      </c>
      <c r="AF105" s="3">
        <v>117.9</v>
      </c>
      <c r="AG105" s="3">
        <v>116.6</v>
      </c>
      <c r="AH105" s="3">
        <v>124.6</v>
      </c>
      <c r="AI105" s="3">
        <f t="shared" si="9"/>
        <v>3400</v>
      </c>
    </row>
    <row r="106" spans="1:35">
      <c r="A106" s="3" t="s">
        <v>17</v>
      </c>
      <c r="B106" s="3">
        <v>2015</v>
      </c>
      <c r="C106" s="3" t="s">
        <v>36</v>
      </c>
      <c r="D106" s="3">
        <v>125.4</v>
      </c>
      <c r="E106" s="3">
        <v>130.3</v>
      </c>
      <c r="F106" s="3">
        <v>121.6</v>
      </c>
      <c r="G106" s="3">
        <v>129.2</v>
      </c>
      <c r="H106" s="3">
        <v>114.9</v>
      </c>
      <c r="I106" s="3">
        <v>128.2</v>
      </c>
      <c r="J106" s="3">
        <v>158.4</v>
      </c>
      <c r="K106" s="3">
        <v>171.2</v>
      </c>
      <c r="L106" s="3">
        <v>93.3</v>
      </c>
      <c r="M106" s="3">
        <v>131.2</v>
      </c>
      <c r="N106" s="3">
        <v>121.7</v>
      </c>
      <c r="O106" s="3">
        <v>134</v>
      </c>
      <c r="P106" s="3">
        <v>132.7</v>
      </c>
      <c r="Q106" s="68">
        <f t="shared" si="5"/>
        <v>1692.1</v>
      </c>
      <c r="R106" s="3">
        <v>133.6</v>
      </c>
      <c r="S106" s="3">
        <v>129.3</v>
      </c>
      <c r="T106" s="3">
        <v>124.5</v>
      </c>
      <c r="U106" s="3">
        <v>128.6</v>
      </c>
      <c r="V106" s="69">
        <f t="shared" si="6"/>
        <v>382.4</v>
      </c>
      <c r="W106" s="3">
        <v>122.9</v>
      </c>
      <c r="X106" s="3">
        <v>123.4</v>
      </c>
      <c r="Y106" s="3">
        <v>121.6</v>
      </c>
      <c r="Z106" s="3">
        <f t="shared" si="7"/>
        <v>367.9</v>
      </c>
      <c r="AA106" s="3">
        <v>111.5</v>
      </c>
      <c r="AB106" s="3">
        <v>113.8</v>
      </c>
      <c r="AC106" s="3">
        <v>120.9</v>
      </c>
      <c r="AD106" s="68">
        <f t="shared" si="8"/>
        <v>234.7</v>
      </c>
      <c r="AE106" s="3">
        <v>126.3</v>
      </c>
      <c r="AF106" s="3">
        <v>119.2</v>
      </c>
      <c r="AG106" s="3">
        <v>118.1</v>
      </c>
      <c r="AH106" s="3">
        <v>126.6</v>
      </c>
      <c r="AI106" s="3">
        <f t="shared" si="9"/>
        <v>3412.4</v>
      </c>
    </row>
    <row r="107" spans="1:35">
      <c r="A107" s="3" t="s">
        <v>14</v>
      </c>
      <c r="B107" s="3">
        <v>2015</v>
      </c>
      <c r="C107" s="3" t="s">
        <v>37</v>
      </c>
      <c r="D107" s="3">
        <v>126.3</v>
      </c>
      <c r="E107" s="3">
        <v>131.3</v>
      </c>
      <c r="F107" s="3">
        <v>123.3</v>
      </c>
      <c r="G107" s="3">
        <v>129.8</v>
      </c>
      <c r="H107" s="3">
        <v>118.3</v>
      </c>
      <c r="I107" s="3">
        <v>131.6</v>
      </c>
      <c r="J107" s="3">
        <v>145.5</v>
      </c>
      <c r="K107" s="3">
        <v>162.1</v>
      </c>
      <c r="L107" s="3">
        <v>95.4</v>
      </c>
      <c r="M107" s="3">
        <v>128.9</v>
      </c>
      <c r="N107" s="3">
        <v>123.3</v>
      </c>
      <c r="O107" s="3">
        <v>135.1</v>
      </c>
      <c r="P107" s="3">
        <v>131.4</v>
      </c>
      <c r="Q107" s="68">
        <f t="shared" si="5"/>
        <v>1682.3</v>
      </c>
      <c r="R107" s="3">
        <v>133.1</v>
      </c>
      <c r="S107" s="3">
        <v>132.5</v>
      </c>
      <c r="T107" s="3">
        <v>128.5</v>
      </c>
      <c r="U107" s="3">
        <v>131.9</v>
      </c>
      <c r="V107" s="69">
        <f t="shared" si="6"/>
        <v>392.9</v>
      </c>
      <c r="W107" s="75">
        <v>122.4</v>
      </c>
      <c r="X107" s="3">
        <v>126</v>
      </c>
      <c r="Y107" s="3">
        <v>125.7</v>
      </c>
      <c r="Z107" s="3">
        <f t="shared" si="7"/>
        <v>374.1</v>
      </c>
      <c r="AA107" s="3">
        <v>114</v>
      </c>
      <c r="AB107" s="3">
        <v>114.1</v>
      </c>
      <c r="AC107" s="3">
        <v>123.1</v>
      </c>
      <c r="AD107" s="68">
        <f t="shared" si="8"/>
        <v>237.2</v>
      </c>
      <c r="AE107" s="3">
        <v>125.6</v>
      </c>
      <c r="AF107" s="3">
        <v>121.6</v>
      </c>
      <c r="AG107" s="3">
        <v>119.8</v>
      </c>
      <c r="AH107" s="3">
        <v>127.9</v>
      </c>
      <c r="AI107" s="3">
        <f t="shared" si="9"/>
        <v>3428.5</v>
      </c>
    </row>
    <row r="108" spans="1:35">
      <c r="A108" s="3" t="s">
        <v>16</v>
      </c>
      <c r="B108" s="3">
        <v>2015</v>
      </c>
      <c r="C108" s="3" t="s">
        <v>37</v>
      </c>
      <c r="D108" s="3">
        <v>124.3</v>
      </c>
      <c r="E108" s="3">
        <v>131.7</v>
      </c>
      <c r="F108" s="3">
        <v>127.1</v>
      </c>
      <c r="G108" s="3">
        <v>128.6</v>
      </c>
      <c r="H108" s="3">
        <v>110</v>
      </c>
      <c r="I108" s="3">
        <v>120.8</v>
      </c>
      <c r="J108" s="3">
        <v>149</v>
      </c>
      <c r="K108" s="3">
        <v>190.1</v>
      </c>
      <c r="L108" s="3">
        <v>92.7</v>
      </c>
      <c r="M108" s="3">
        <v>138.6</v>
      </c>
      <c r="N108" s="3">
        <v>120.2</v>
      </c>
      <c r="O108" s="3">
        <v>134.2</v>
      </c>
      <c r="P108" s="3">
        <v>131.5</v>
      </c>
      <c r="Q108" s="68">
        <f t="shared" si="5"/>
        <v>1698.8</v>
      </c>
      <c r="R108" s="3">
        <v>138.2</v>
      </c>
      <c r="S108" s="3">
        <v>125.4</v>
      </c>
      <c r="T108" s="3">
        <v>119.5</v>
      </c>
      <c r="U108" s="3">
        <v>124.5</v>
      </c>
      <c r="V108" s="69">
        <f t="shared" si="6"/>
        <v>369.4</v>
      </c>
      <c r="W108" s="3">
        <v>122.4</v>
      </c>
      <c r="X108" s="3">
        <v>121</v>
      </c>
      <c r="Y108" s="3">
        <v>116</v>
      </c>
      <c r="Z108" s="3">
        <f t="shared" si="7"/>
        <v>359.4</v>
      </c>
      <c r="AA108" s="3">
        <v>109.3</v>
      </c>
      <c r="AB108" s="3">
        <v>113.2</v>
      </c>
      <c r="AC108" s="3">
        <v>118.6</v>
      </c>
      <c r="AD108" s="68">
        <f t="shared" si="8"/>
        <v>231.8</v>
      </c>
      <c r="AE108" s="3">
        <v>126.6</v>
      </c>
      <c r="AF108" s="3">
        <v>118.1</v>
      </c>
      <c r="AG108" s="3">
        <v>116.7</v>
      </c>
      <c r="AH108" s="3">
        <v>124</v>
      </c>
      <c r="AI108" s="3">
        <f t="shared" si="9"/>
        <v>3392.3</v>
      </c>
    </row>
    <row r="109" spans="1:35">
      <c r="A109" s="3" t="s">
        <v>17</v>
      </c>
      <c r="B109" s="3">
        <v>2015</v>
      </c>
      <c r="C109" s="3" t="s">
        <v>37</v>
      </c>
      <c r="D109" s="3">
        <v>125.7</v>
      </c>
      <c r="E109" s="3">
        <v>131.4</v>
      </c>
      <c r="F109" s="3">
        <v>124.8</v>
      </c>
      <c r="G109" s="3">
        <v>129.4</v>
      </c>
      <c r="H109" s="3">
        <v>115.3</v>
      </c>
      <c r="I109" s="3">
        <v>126.6</v>
      </c>
      <c r="J109" s="3">
        <v>146.7</v>
      </c>
      <c r="K109" s="3">
        <v>171.5</v>
      </c>
      <c r="L109" s="3">
        <v>94.5</v>
      </c>
      <c r="M109" s="3">
        <v>132.1</v>
      </c>
      <c r="N109" s="3">
        <v>122</v>
      </c>
      <c r="O109" s="3">
        <v>134.7</v>
      </c>
      <c r="P109" s="3">
        <v>131.4</v>
      </c>
      <c r="Q109" s="68">
        <f t="shared" si="5"/>
        <v>1686.1</v>
      </c>
      <c r="R109" s="3">
        <v>134.5</v>
      </c>
      <c r="S109" s="3">
        <v>129.7</v>
      </c>
      <c r="T109" s="3">
        <v>124.8</v>
      </c>
      <c r="U109" s="3">
        <v>129</v>
      </c>
      <c r="V109" s="69">
        <f t="shared" si="6"/>
        <v>383.5</v>
      </c>
      <c r="W109" s="3">
        <v>122.4</v>
      </c>
      <c r="X109" s="3">
        <v>123.6</v>
      </c>
      <c r="Y109" s="3">
        <v>122</v>
      </c>
      <c r="Z109" s="3">
        <f t="shared" si="7"/>
        <v>368</v>
      </c>
      <c r="AA109" s="3">
        <v>111.5</v>
      </c>
      <c r="AB109" s="3">
        <v>113.7</v>
      </c>
      <c r="AC109" s="3">
        <v>121.4</v>
      </c>
      <c r="AD109" s="68">
        <f t="shared" si="8"/>
        <v>235.1</v>
      </c>
      <c r="AE109" s="3">
        <v>126.2</v>
      </c>
      <c r="AF109" s="3">
        <v>119.6</v>
      </c>
      <c r="AG109" s="3">
        <v>118.3</v>
      </c>
      <c r="AH109" s="3">
        <v>126.1</v>
      </c>
      <c r="AI109" s="3">
        <f t="shared" si="9"/>
        <v>3408.9</v>
      </c>
    </row>
    <row r="110" spans="1:35">
      <c r="A110" s="3" t="s">
        <v>14</v>
      </c>
      <c r="B110" s="3">
        <v>2016</v>
      </c>
      <c r="C110" s="3" t="s">
        <v>19</v>
      </c>
      <c r="D110" s="3">
        <v>126.8</v>
      </c>
      <c r="E110" s="3">
        <v>133.2</v>
      </c>
      <c r="F110" s="3">
        <v>126.5</v>
      </c>
      <c r="G110" s="3">
        <v>130.3</v>
      </c>
      <c r="H110" s="3">
        <v>118.9</v>
      </c>
      <c r="I110" s="3">
        <v>131.6</v>
      </c>
      <c r="J110" s="3">
        <v>140.1</v>
      </c>
      <c r="K110" s="3">
        <v>163.8</v>
      </c>
      <c r="L110" s="3">
        <v>97.7</v>
      </c>
      <c r="M110" s="3">
        <v>129.6</v>
      </c>
      <c r="N110" s="3">
        <v>124.3</v>
      </c>
      <c r="O110" s="3">
        <v>135.9</v>
      </c>
      <c r="P110" s="3">
        <v>131.4</v>
      </c>
      <c r="Q110" s="68">
        <f t="shared" si="5"/>
        <v>1690.1</v>
      </c>
      <c r="R110" s="3">
        <v>133.6</v>
      </c>
      <c r="S110" s="3">
        <v>133.2</v>
      </c>
      <c r="T110" s="3">
        <v>128.9</v>
      </c>
      <c r="U110" s="3">
        <v>132.6</v>
      </c>
      <c r="V110" s="69">
        <f t="shared" si="6"/>
        <v>394.7</v>
      </c>
      <c r="W110" s="75">
        <v>123.4</v>
      </c>
      <c r="X110" s="3">
        <v>126.6</v>
      </c>
      <c r="Y110" s="3">
        <v>126.2</v>
      </c>
      <c r="Z110" s="3">
        <f t="shared" si="7"/>
        <v>376.2</v>
      </c>
      <c r="AA110" s="3">
        <v>113.6</v>
      </c>
      <c r="AB110" s="3">
        <v>114.9</v>
      </c>
      <c r="AC110" s="3">
        <v>123.7</v>
      </c>
      <c r="AD110" s="68">
        <f t="shared" si="8"/>
        <v>238.6</v>
      </c>
      <c r="AE110" s="3">
        <v>126.2</v>
      </c>
      <c r="AF110" s="3">
        <v>121.4</v>
      </c>
      <c r="AG110" s="3">
        <v>120.1</v>
      </c>
      <c r="AH110" s="3">
        <v>128.1</v>
      </c>
      <c r="AI110" s="3">
        <f t="shared" si="9"/>
        <v>3442.6</v>
      </c>
    </row>
    <row r="111" spans="1:35">
      <c r="A111" s="3" t="s">
        <v>16</v>
      </c>
      <c r="B111" s="3">
        <v>2016</v>
      </c>
      <c r="C111" s="3" t="s">
        <v>19</v>
      </c>
      <c r="D111" s="3">
        <v>124.7</v>
      </c>
      <c r="E111" s="3">
        <v>135.9</v>
      </c>
      <c r="F111" s="3">
        <v>132</v>
      </c>
      <c r="G111" s="3">
        <v>129.2</v>
      </c>
      <c r="H111" s="3">
        <v>109.7</v>
      </c>
      <c r="I111" s="3">
        <v>119</v>
      </c>
      <c r="J111" s="3">
        <v>144.1</v>
      </c>
      <c r="K111" s="3">
        <v>184.2</v>
      </c>
      <c r="L111" s="3">
        <v>96.7</v>
      </c>
      <c r="M111" s="3">
        <v>139.5</v>
      </c>
      <c r="N111" s="3">
        <v>120.5</v>
      </c>
      <c r="O111" s="3">
        <v>134.7</v>
      </c>
      <c r="P111" s="3">
        <v>131.2</v>
      </c>
      <c r="Q111" s="68">
        <f t="shared" si="5"/>
        <v>1701.4</v>
      </c>
      <c r="R111" s="3">
        <v>139.5</v>
      </c>
      <c r="S111" s="3">
        <v>125.8</v>
      </c>
      <c r="T111" s="3">
        <v>119.8</v>
      </c>
      <c r="U111" s="3">
        <v>124.9</v>
      </c>
      <c r="V111" s="69">
        <f t="shared" si="6"/>
        <v>370.5</v>
      </c>
      <c r="W111" s="3">
        <v>123.4</v>
      </c>
      <c r="X111" s="3">
        <v>121.6</v>
      </c>
      <c r="Y111" s="3">
        <v>116.9</v>
      </c>
      <c r="Z111" s="3">
        <f t="shared" si="7"/>
        <v>361.9</v>
      </c>
      <c r="AA111" s="3">
        <v>108.9</v>
      </c>
      <c r="AB111" s="3">
        <v>114</v>
      </c>
      <c r="AC111" s="3">
        <v>119.1</v>
      </c>
      <c r="AD111" s="68">
        <f t="shared" si="8"/>
        <v>233.1</v>
      </c>
      <c r="AE111" s="3">
        <v>126.4</v>
      </c>
      <c r="AF111" s="3">
        <v>118.5</v>
      </c>
      <c r="AG111" s="3">
        <v>116.8</v>
      </c>
      <c r="AH111" s="3">
        <v>124.2</v>
      </c>
      <c r="AI111" s="3">
        <f t="shared" si="9"/>
        <v>3401.2</v>
      </c>
    </row>
    <row r="112" spans="1:35">
      <c r="A112" s="3" t="s">
        <v>17</v>
      </c>
      <c r="B112" s="3">
        <v>2016</v>
      </c>
      <c r="C112" s="3" t="s">
        <v>19</v>
      </c>
      <c r="D112" s="3">
        <v>126.1</v>
      </c>
      <c r="E112" s="3">
        <v>134.1</v>
      </c>
      <c r="F112" s="3">
        <v>128.6</v>
      </c>
      <c r="G112" s="3">
        <v>129.9</v>
      </c>
      <c r="H112" s="3">
        <v>115.5</v>
      </c>
      <c r="I112" s="3">
        <v>125.7</v>
      </c>
      <c r="J112" s="3">
        <v>141.5</v>
      </c>
      <c r="K112" s="3">
        <v>170.7</v>
      </c>
      <c r="L112" s="3">
        <v>97.4</v>
      </c>
      <c r="M112" s="3">
        <v>132.9</v>
      </c>
      <c r="N112" s="3">
        <v>122.7</v>
      </c>
      <c r="O112" s="3">
        <v>135.3</v>
      </c>
      <c r="P112" s="3">
        <v>131.3</v>
      </c>
      <c r="Q112" s="68">
        <f t="shared" si="5"/>
        <v>1691.7</v>
      </c>
      <c r="R112" s="3">
        <v>135.2</v>
      </c>
      <c r="S112" s="3">
        <v>130.3</v>
      </c>
      <c r="T112" s="3">
        <v>125.1</v>
      </c>
      <c r="U112" s="3">
        <v>129.5</v>
      </c>
      <c r="V112" s="69">
        <f t="shared" si="6"/>
        <v>384.9</v>
      </c>
      <c r="W112" s="3">
        <v>123.4</v>
      </c>
      <c r="X112" s="3">
        <v>124.2</v>
      </c>
      <c r="Y112" s="3">
        <v>122.7</v>
      </c>
      <c r="Z112" s="3">
        <f t="shared" si="7"/>
        <v>370.3</v>
      </c>
      <c r="AA112" s="3">
        <v>111.1</v>
      </c>
      <c r="AB112" s="3">
        <v>114.5</v>
      </c>
      <c r="AC112" s="3">
        <v>122</v>
      </c>
      <c r="AD112" s="68">
        <f t="shared" si="8"/>
        <v>236.5</v>
      </c>
      <c r="AE112" s="3">
        <v>126.3</v>
      </c>
      <c r="AF112" s="3">
        <v>119.8</v>
      </c>
      <c r="AG112" s="3">
        <v>118.5</v>
      </c>
      <c r="AH112" s="3">
        <v>126.3</v>
      </c>
      <c r="AI112" s="3">
        <f t="shared" si="9"/>
        <v>3420.6</v>
      </c>
    </row>
    <row r="113" spans="1:35">
      <c r="A113" s="3" t="s">
        <v>14</v>
      </c>
      <c r="B113" s="3">
        <v>2016</v>
      </c>
      <c r="C113" s="3" t="s">
        <v>20</v>
      </c>
      <c r="D113" s="3">
        <v>127.1</v>
      </c>
      <c r="E113" s="3">
        <v>133.7</v>
      </c>
      <c r="F113" s="3">
        <v>127.7</v>
      </c>
      <c r="G113" s="3">
        <v>130.7</v>
      </c>
      <c r="H113" s="3">
        <v>118.5</v>
      </c>
      <c r="I113" s="3">
        <v>130.4</v>
      </c>
      <c r="J113" s="3">
        <v>130.9</v>
      </c>
      <c r="K113" s="3">
        <v>162.8</v>
      </c>
      <c r="L113" s="3">
        <v>98.7</v>
      </c>
      <c r="M113" s="3">
        <v>130.6</v>
      </c>
      <c r="N113" s="3">
        <v>124.8</v>
      </c>
      <c r="O113" s="3">
        <v>136.4</v>
      </c>
      <c r="P113" s="3">
        <v>130.3</v>
      </c>
      <c r="Q113" s="68">
        <f t="shared" si="5"/>
        <v>1682.6</v>
      </c>
      <c r="R113" s="3">
        <v>134.4</v>
      </c>
      <c r="S113" s="3">
        <v>133.9</v>
      </c>
      <c r="T113" s="3">
        <v>129.8</v>
      </c>
      <c r="U113" s="3">
        <v>133.4</v>
      </c>
      <c r="V113" s="69">
        <f t="shared" si="6"/>
        <v>397.1</v>
      </c>
      <c r="W113" s="75">
        <v>124.4</v>
      </c>
      <c r="X113" s="3">
        <v>127.1</v>
      </c>
      <c r="Y113" s="3">
        <v>127.5</v>
      </c>
      <c r="Z113" s="3">
        <f t="shared" si="7"/>
        <v>379</v>
      </c>
      <c r="AA113" s="3">
        <v>113.9</v>
      </c>
      <c r="AB113" s="3">
        <v>116.8</v>
      </c>
      <c r="AC113" s="3">
        <v>124.3</v>
      </c>
      <c r="AD113" s="68">
        <f t="shared" si="8"/>
        <v>241.1</v>
      </c>
      <c r="AE113" s="3">
        <v>127.1</v>
      </c>
      <c r="AF113" s="3">
        <v>122.3</v>
      </c>
      <c r="AG113" s="3">
        <v>120.9</v>
      </c>
      <c r="AH113" s="3">
        <v>127.9</v>
      </c>
      <c r="AI113" s="3">
        <f t="shared" si="9"/>
        <v>3446.3</v>
      </c>
    </row>
    <row r="114" spans="1:35">
      <c r="A114" s="3" t="s">
        <v>16</v>
      </c>
      <c r="B114" s="3">
        <v>2016</v>
      </c>
      <c r="C114" s="3" t="s">
        <v>20</v>
      </c>
      <c r="D114" s="3">
        <v>124.8</v>
      </c>
      <c r="E114" s="3">
        <v>135.1</v>
      </c>
      <c r="F114" s="3">
        <v>130.3</v>
      </c>
      <c r="G114" s="3">
        <v>129.6</v>
      </c>
      <c r="H114" s="3">
        <v>108.4</v>
      </c>
      <c r="I114" s="3">
        <v>118.6</v>
      </c>
      <c r="J114" s="3">
        <v>129.2</v>
      </c>
      <c r="K114" s="3">
        <v>176.4</v>
      </c>
      <c r="L114" s="3">
        <v>99.1</v>
      </c>
      <c r="M114" s="3">
        <v>139.7</v>
      </c>
      <c r="N114" s="3">
        <v>120.6</v>
      </c>
      <c r="O114" s="3">
        <v>135.2</v>
      </c>
      <c r="P114" s="3">
        <v>129.1</v>
      </c>
      <c r="Q114" s="68">
        <f t="shared" si="5"/>
        <v>1676.1</v>
      </c>
      <c r="R114" s="3">
        <v>140</v>
      </c>
      <c r="S114" s="3">
        <v>126.2</v>
      </c>
      <c r="T114" s="3">
        <v>120.1</v>
      </c>
      <c r="U114" s="3">
        <v>125.3</v>
      </c>
      <c r="V114" s="69">
        <f t="shared" si="6"/>
        <v>371.6</v>
      </c>
      <c r="W114" s="3">
        <v>124.4</v>
      </c>
      <c r="X114" s="3">
        <v>121.8</v>
      </c>
      <c r="Y114" s="3">
        <v>116</v>
      </c>
      <c r="Z114" s="3">
        <f t="shared" si="7"/>
        <v>362.2</v>
      </c>
      <c r="AA114" s="3">
        <v>109.1</v>
      </c>
      <c r="AB114" s="3">
        <v>116.2</v>
      </c>
      <c r="AC114" s="3">
        <v>119.5</v>
      </c>
      <c r="AD114" s="68">
        <f t="shared" si="8"/>
        <v>235.7</v>
      </c>
      <c r="AE114" s="3">
        <v>126.3</v>
      </c>
      <c r="AF114" s="3">
        <v>118.8</v>
      </c>
      <c r="AG114" s="3">
        <v>117.2</v>
      </c>
      <c r="AH114" s="3">
        <v>123.8</v>
      </c>
      <c r="AI114" s="3">
        <f t="shared" si="9"/>
        <v>3380.8</v>
      </c>
    </row>
    <row r="115" spans="1:35">
      <c r="A115" s="3" t="s">
        <v>17</v>
      </c>
      <c r="B115" s="3">
        <v>2016</v>
      </c>
      <c r="C115" s="3" t="s">
        <v>20</v>
      </c>
      <c r="D115" s="3">
        <v>126.4</v>
      </c>
      <c r="E115" s="3">
        <v>134.2</v>
      </c>
      <c r="F115" s="3">
        <v>128.7</v>
      </c>
      <c r="G115" s="3">
        <v>130.3</v>
      </c>
      <c r="H115" s="3">
        <v>114.8</v>
      </c>
      <c r="I115" s="3">
        <v>124.9</v>
      </c>
      <c r="J115" s="3">
        <v>130.3</v>
      </c>
      <c r="K115" s="3">
        <v>167.4</v>
      </c>
      <c r="L115" s="3">
        <v>98.8</v>
      </c>
      <c r="M115" s="3">
        <v>133.6</v>
      </c>
      <c r="N115" s="3">
        <v>123</v>
      </c>
      <c r="O115" s="3">
        <v>135.8</v>
      </c>
      <c r="P115" s="3">
        <v>129.9</v>
      </c>
      <c r="Q115" s="68">
        <f t="shared" si="5"/>
        <v>1678.1</v>
      </c>
      <c r="R115" s="3">
        <v>135.9</v>
      </c>
      <c r="S115" s="3">
        <v>130.9</v>
      </c>
      <c r="T115" s="3">
        <v>125.8</v>
      </c>
      <c r="U115" s="3">
        <v>130.2</v>
      </c>
      <c r="V115" s="69">
        <f t="shared" si="6"/>
        <v>386.9</v>
      </c>
      <c r="W115" s="3">
        <v>124.4</v>
      </c>
      <c r="X115" s="3">
        <v>124.6</v>
      </c>
      <c r="Y115" s="3">
        <v>123.1</v>
      </c>
      <c r="Z115" s="3">
        <f t="shared" si="7"/>
        <v>372.1</v>
      </c>
      <c r="AA115" s="3">
        <v>111.4</v>
      </c>
      <c r="AB115" s="3">
        <v>116.6</v>
      </c>
      <c r="AC115" s="3">
        <v>122.5</v>
      </c>
      <c r="AD115" s="68">
        <f t="shared" si="8"/>
        <v>239.1</v>
      </c>
      <c r="AE115" s="3">
        <v>126.6</v>
      </c>
      <c r="AF115" s="3">
        <v>120.3</v>
      </c>
      <c r="AG115" s="3">
        <v>119.1</v>
      </c>
      <c r="AH115" s="3">
        <v>126</v>
      </c>
      <c r="AI115" s="3">
        <f t="shared" si="9"/>
        <v>3415.5</v>
      </c>
    </row>
    <row r="116" spans="1:35">
      <c r="A116" s="3" t="s">
        <v>14</v>
      </c>
      <c r="B116" s="3">
        <v>2016</v>
      </c>
      <c r="C116" s="3" t="s">
        <v>26</v>
      </c>
      <c r="D116" s="3">
        <v>127.3</v>
      </c>
      <c r="E116" s="3">
        <v>134.4</v>
      </c>
      <c r="F116" s="3">
        <v>125.1</v>
      </c>
      <c r="G116" s="3">
        <v>130.5</v>
      </c>
      <c r="H116" s="3">
        <v>118.3</v>
      </c>
      <c r="I116" s="3">
        <v>131.7</v>
      </c>
      <c r="J116" s="3">
        <v>130.7</v>
      </c>
      <c r="K116" s="3">
        <v>161.2</v>
      </c>
      <c r="L116" s="3">
        <v>100.4</v>
      </c>
      <c r="M116" s="3">
        <v>130.8</v>
      </c>
      <c r="N116" s="3">
        <v>124.9</v>
      </c>
      <c r="O116" s="3">
        <v>137</v>
      </c>
      <c r="P116" s="3">
        <v>130.4</v>
      </c>
      <c r="Q116" s="68">
        <f t="shared" si="5"/>
        <v>1682.7</v>
      </c>
      <c r="R116" s="3">
        <v>135</v>
      </c>
      <c r="S116" s="3">
        <v>134.4</v>
      </c>
      <c r="T116" s="3">
        <v>130.2</v>
      </c>
      <c r="U116" s="3">
        <v>133.8</v>
      </c>
      <c r="V116" s="69">
        <f t="shared" si="6"/>
        <v>398.4</v>
      </c>
      <c r="W116" s="75">
        <v>124.9</v>
      </c>
      <c r="X116" s="3">
        <v>127.7</v>
      </c>
      <c r="Y116" s="3">
        <v>127</v>
      </c>
      <c r="Z116" s="3">
        <f t="shared" si="7"/>
        <v>379.6</v>
      </c>
      <c r="AA116" s="3">
        <v>113.6</v>
      </c>
      <c r="AB116" s="3">
        <v>117.4</v>
      </c>
      <c r="AC116" s="3">
        <v>124.8</v>
      </c>
      <c r="AD116" s="68">
        <f t="shared" si="8"/>
        <v>242.2</v>
      </c>
      <c r="AE116" s="3">
        <v>127.5</v>
      </c>
      <c r="AF116" s="3">
        <v>122.5</v>
      </c>
      <c r="AG116" s="3">
        <v>121.1</v>
      </c>
      <c r="AH116" s="3">
        <v>128</v>
      </c>
      <c r="AI116" s="3">
        <f t="shared" si="9"/>
        <v>3450.6</v>
      </c>
    </row>
    <row r="117" spans="1:35">
      <c r="A117" s="3" t="s">
        <v>16</v>
      </c>
      <c r="B117" s="3">
        <v>2016</v>
      </c>
      <c r="C117" s="3" t="s">
        <v>26</v>
      </c>
      <c r="D117" s="3">
        <v>124.8</v>
      </c>
      <c r="E117" s="3">
        <v>136.3</v>
      </c>
      <c r="F117" s="3">
        <v>123.7</v>
      </c>
      <c r="G117" s="3">
        <v>129.7</v>
      </c>
      <c r="H117" s="3">
        <v>107.9</v>
      </c>
      <c r="I117" s="3">
        <v>119.9</v>
      </c>
      <c r="J117" s="3">
        <v>128.1</v>
      </c>
      <c r="K117" s="3">
        <v>170.3</v>
      </c>
      <c r="L117" s="3">
        <v>101.8</v>
      </c>
      <c r="M117" s="3">
        <v>140.1</v>
      </c>
      <c r="N117" s="3">
        <v>120.7</v>
      </c>
      <c r="O117" s="3">
        <v>135.4</v>
      </c>
      <c r="P117" s="3">
        <v>128.9</v>
      </c>
      <c r="Q117" s="68">
        <f t="shared" si="5"/>
        <v>1667.6</v>
      </c>
      <c r="R117" s="3">
        <v>140.6</v>
      </c>
      <c r="S117" s="3">
        <v>126.4</v>
      </c>
      <c r="T117" s="3">
        <v>120.3</v>
      </c>
      <c r="U117" s="3">
        <v>125.5</v>
      </c>
      <c r="V117" s="69">
        <f t="shared" si="6"/>
        <v>372.2</v>
      </c>
      <c r="W117" s="3">
        <v>124.9</v>
      </c>
      <c r="X117" s="3">
        <v>122.3</v>
      </c>
      <c r="Y117" s="3">
        <v>114.8</v>
      </c>
      <c r="Z117" s="3">
        <f t="shared" si="7"/>
        <v>362</v>
      </c>
      <c r="AA117" s="3">
        <v>108.5</v>
      </c>
      <c r="AB117" s="3">
        <v>117.1</v>
      </c>
      <c r="AC117" s="3">
        <v>119.7</v>
      </c>
      <c r="AD117" s="68">
        <f t="shared" si="8"/>
        <v>236.8</v>
      </c>
      <c r="AE117" s="3">
        <v>126.4</v>
      </c>
      <c r="AF117" s="3">
        <v>119.1</v>
      </c>
      <c r="AG117" s="3">
        <v>117.3</v>
      </c>
      <c r="AH117" s="3">
        <v>123.8</v>
      </c>
      <c r="AI117" s="3">
        <f t="shared" si="9"/>
        <v>3374.3</v>
      </c>
    </row>
    <row r="118" spans="1:35">
      <c r="A118" s="3" t="s">
        <v>17</v>
      </c>
      <c r="B118" s="3">
        <v>2016</v>
      </c>
      <c r="C118" s="3" t="s">
        <v>26</v>
      </c>
      <c r="D118" s="3">
        <v>126.5</v>
      </c>
      <c r="E118" s="3">
        <v>135.1</v>
      </c>
      <c r="F118" s="3">
        <v>124.6</v>
      </c>
      <c r="G118" s="3">
        <v>130.2</v>
      </c>
      <c r="H118" s="3">
        <v>114.5</v>
      </c>
      <c r="I118" s="3">
        <v>126.2</v>
      </c>
      <c r="J118" s="3">
        <v>129.8</v>
      </c>
      <c r="K118" s="3">
        <v>164.3</v>
      </c>
      <c r="L118" s="3">
        <v>100.9</v>
      </c>
      <c r="M118" s="3">
        <v>133.9</v>
      </c>
      <c r="N118" s="3">
        <v>123.1</v>
      </c>
      <c r="O118" s="3">
        <v>136.3</v>
      </c>
      <c r="P118" s="3">
        <v>129.8</v>
      </c>
      <c r="Q118" s="68">
        <f t="shared" si="5"/>
        <v>1675.2</v>
      </c>
      <c r="R118" s="3">
        <v>136.5</v>
      </c>
      <c r="S118" s="3">
        <v>131.3</v>
      </c>
      <c r="T118" s="3">
        <v>126.1</v>
      </c>
      <c r="U118" s="3">
        <v>130.5</v>
      </c>
      <c r="V118" s="69">
        <f t="shared" si="6"/>
        <v>387.9</v>
      </c>
      <c r="W118" s="3">
        <v>124.9</v>
      </c>
      <c r="X118" s="3">
        <v>125.1</v>
      </c>
      <c r="Y118" s="3">
        <v>122.4</v>
      </c>
      <c r="Z118" s="3">
        <f t="shared" si="7"/>
        <v>372.4</v>
      </c>
      <c r="AA118" s="3">
        <v>110.9</v>
      </c>
      <c r="AB118" s="3">
        <v>117.3</v>
      </c>
      <c r="AC118" s="3">
        <v>122.9</v>
      </c>
      <c r="AD118" s="68">
        <f t="shared" si="8"/>
        <v>240.2</v>
      </c>
      <c r="AE118" s="3">
        <v>126.9</v>
      </c>
      <c r="AF118" s="3">
        <v>120.6</v>
      </c>
      <c r="AG118" s="3">
        <v>119.3</v>
      </c>
      <c r="AH118" s="3">
        <v>126</v>
      </c>
      <c r="AI118" s="3">
        <f t="shared" si="9"/>
        <v>3415.9</v>
      </c>
    </row>
    <row r="119" spans="1:35">
      <c r="A119" s="3" t="s">
        <v>14</v>
      </c>
      <c r="B119" s="3">
        <v>2016</v>
      </c>
      <c r="C119" s="3" t="s">
        <v>29</v>
      </c>
      <c r="D119" s="3">
        <v>127.4</v>
      </c>
      <c r="E119" s="3">
        <v>135.4</v>
      </c>
      <c r="F119" s="3">
        <v>123.4</v>
      </c>
      <c r="G119" s="3">
        <v>131.3</v>
      </c>
      <c r="H119" s="3">
        <v>118.2</v>
      </c>
      <c r="I119" s="3">
        <v>138.1</v>
      </c>
      <c r="J119" s="3">
        <v>134.1</v>
      </c>
      <c r="K119" s="3">
        <v>162.7</v>
      </c>
      <c r="L119" s="3">
        <v>105</v>
      </c>
      <c r="M119" s="3">
        <v>131.4</v>
      </c>
      <c r="N119" s="3">
        <v>125.4</v>
      </c>
      <c r="O119" s="3">
        <v>137.4</v>
      </c>
      <c r="P119" s="3">
        <v>131.8</v>
      </c>
      <c r="Q119" s="68">
        <f t="shared" si="5"/>
        <v>1701.6</v>
      </c>
      <c r="R119" s="3">
        <v>135.5</v>
      </c>
      <c r="S119" s="3">
        <v>135</v>
      </c>
      <c r="T119" s="3">
        <v>130.6</v>
      </c>
      <c r="U119" s="3">
        <v>134.4</v>
      </c>
      <c r="V119" s="69">
        <f t="shared" si="6"/>
        <v>400</v>
      </c>
      <c r="W119" s="75">
        <v>125.6</v>
      </c>
      <c r="X119" s="3">
        <v>128</v>
      </c>
      <c r="Y119" s="3">
        <v>127</v>
      </c>
      <c r="Z119" s="3">
        <f t="shared" si="7"/>
        <v>380.6</v>
      </c>
      <c r="AA119" s="3">
        <v>114.4</v>
      </c>
      <c r="AB119" s="3">
        <v>118.4</v>
      </c>
      <c r="AC119" s="3">
        <v>125.2</v>
      </c>
      <c r="AD119" s="68">
        <f t="shared" si="8"/>
        <v>243.6</v>
      </c>
      <c r="AE119" s="3">
        <v>127.9</v>
      </c>
      <c r="AF119" s="3">
        <v>123.2</v>
      </c>
      <c r="AG119" s="3">
        <v>121.7</v>
      </c>
      <c r="AH119" s="3">
        <v>129</v>
      </c>
      <c r="AI119" s="3">
        <f t="shared" si="9"/>
        <v>3477.5</v>
      </c>
    </row>
    <row r="120" spans="1:35">
      <c r="A120" s="3" t="s">
        <v>16</v>
      </c>
      <c r="B120" s="3">
        <v>2016</v>
      </c>
      <c r="C120" s="3" t="s">
        <v>29</v>
      </c>
      <c r="D120" s="3">
        <v>124.9</v>
      </c>
      <c r="E120" s="3">
        <v>139.3</v>
      </c>
      <c r="F120" s="3">
        <v>119.9</v>
      </c>
      <c r="G120" s="3">
        <v>130.2</v>
      </c>
      <c r="H120" s="3">
        <v>108.9</v>
      </c>
      <c r="I120" s="3">
        <v>131.1</v>
      </c>
      <c r="J120" s="3">
        <v>136.8</v>
      </c>
      <c r="K120" s="3">
        <v>176.9</v>
      </c>
      <c r="L120" s="3">
        <v>109.1</v>
      </c>
      <c r="M120" s="3">
        <v>140.4</v>
      </c>
      <c r="N120" s="3">
        <v>121.1</v>
      </c>
      <c r="O120" s="3">
        <v>135.9</v>
      </c>
      <c r="P120" s="3">
        <v>131.8</v>
      </c>
      <c r="Q120" s="68">
        <f t="shared" si="5"/>
        <v>1706.3</v>
      </c>
      <c r="R120" s="3">
        <v>141.5</v>
      </c>
      <c r="S120" s="3">
        <v>126.8</v>
      </c>
      <c r="T120" s="3">
        <v>120.5</v>
      </c>
      <c r="U120" s="3">
        <v>125.8</v>
      </c>
      <c r="V120" s="69">
        <f t="shared" si="6"/>
        <v>373.1</v>
      </c>
      <c r="W120" s="3">
        <v>125.6</v>
      </c>
      <c r="X120" s="3">
        <v>122.8</v>
      </c>
      <c r="Y120" s="3">
        <v>114.6</v>
      </c>
      <c r="Z120" s="3">
        <f t="shared" si="7"/>
        <v>363</v>
      </c>
      <c r="AA120" s="3">
        <v>110</v>
      </c>
      <c r="AB120" s="3">
        <v>117.6</v>
      </c>
      <c r="AC120" s="3">
        <v>120</v>
      </c>
      <c r="AD120" s="68">
        <f t="shared" si="8"/>
        <v>237.6</v>
      </c>
      <c r="AE120" s="3">
        <v>127.6</v>
      </c>
      <c r="AF120" s="3">
        <v>119.5</v>
      </c>
      <c r="AG120" s="3">
        <v>118.2</v>
      </c>
      <c r="AH120" s="3">
        <v>125.3</v>
      </c>
      <c r="AI120" s="3">
        <f t="shared" si="9"/>
        <v>3422.1</v>
      </c>
    </row>
    <row r="121" spans="1:35">
      <c r="A121" s="3" t="s">
        <v>17</v>
      </c>
      <c r="B121" s="3">
        <v>2016</v>
      </c>
      <c r="C121" s="3" t="s">
        <v>29</v>
      </c>
      <c r="D121" s="3">
        <v>126.6</v>
      </c>
      <c r="E121" s="3">
        <v>136.8</v>
      </c>
      <c r="F121" s="3">
        <v>122</v>
      </c>
      <c r="G121" s="3">
        <v>130.9</v>
      </c>
      <c r="H121" s="3">
        <v>114.8</v>
      </c>
      <c r="I121" s="3">
        <v>134.8</v>
      </c>
      <c r="J121" s="3">
        <v>135</v>
      </c>
      <c r="K121" s="3">
        <v>167.5</v>
      </c>
      <c r="L121" s="3">
        <v>106.4</v>
      </c>
      <c r="M121" s="3">
        <v>134.4</v>
      </c>
      <c r="N121" s="3">
        <v>123.6</v>
      </c>
      <c r="O121" s="3">
        <v>136.7</v>
      </c>
      <c r="P121" s="3">
        <v>131.8</v>
      </c>
      <c r="Q121" s="68">
        <f t="shared" si="5"/>
        <v>1701.3</v>
      </c>
      <c r="R121" s="3">
        <v>137.1</v>
      </c>
      <c r="S121" s="3">
        <v>131.8</v>
      </c>
      <c r="T121" s="3">
        <v>126.4</v>
      </c>
      <c r="U121" s="3">
        <v>131</v>
      </c>
      <c r="V121" s="69">
        <f t="shared" si="6"/>
        <v>389.2</v>
      </c>
      <c r="W121" s="3">
        <v>125.6</v>
      </c>
      <c r="X121" s="3">
        <v>125.5</v>
      </c>
      <c r="Y121" s="3">
        <v>122.3</v>
      </c>
      <c r="Z121" s="3">
        <f t="shared" si="7"/>
        <v>373.4</v>
      </c>
      <c r="AA121" s="3">
        <v>112.1</v>
      </c>
      <c r="AB121" s="3">
        <v>118.1</v>
      </c>
      <c r="AC121" s="3">
        <v>123.2</v>
      </c>
      <c r="AD121" s="68">
        <f t="shared" si="8"/>
        <v>241.3</v>
      </c>
      <c r="AE121" s="3">
        <v>127.7</v>
      </c>
      <c r="AF121" s="3">
        <v>121.1</v>
      </c>
      <c r="AG121" s="3">
        <v>120</v>
      </c>
      <c r="AH121" s="3">
        <v>127.3</v>
      </c>
      <c r="AI121" s="3">
        <f t="shared" si="9"/>
        <v>3450.5</v>
      </c>
    </row>
    <row r="122" spans="1:35">
      <c r="A122" s="3" t="s">
        <v>14</v>
      </c>
      <c r="B122" s="3">
        <v>2016</v>
      </c>
      <c r="C122" s="3" t="s">
        <v>15</v>
      </c>
      <c r="D122" s="3">
        <v>127.6</v>
      </c>
      <c r="E122" s="3">
        <v>137.5</v>
      </c>
      <c r="F122" s="3">
        <v>124.4</v>
      </c>
      <c r="G122" s="3">
        <v>132.4</v>
      </c>
      <c r="H122" s="3">
        <v>118.2</v>
      </c>
      <c r="I122" s="3">
        <v>138.1</v>
      </c>
      <c r="J122" s="3">
        <v>141.8</v>
      </c>
      <c r="K122" s="3">
        <v>166</v>
      </c>
      <c r="L122" s="3">
        <v>107.5</v>
      </c>
      <c r="M122" s="3">
        <v>132.2</v>
      </c>
      <c r="N122" s="3">
        <v>126.1</v>
      </c>
      <c r="O122" s="3">
        <v>138.3</v>
      </c>
      <c r="P122" s="3">
        <v>133.6</v>
      </c>
      <c r="Q122" s="68">
        <f t="shared" si="5"/>
        <v>1723.7</v>
      </c>
      <c r="R122" s="3">
        <v>136</v>
      </c>
      <c r="S122" s="3">
        <v>135.4</v>
      </c>
      <c r="T122" s="3">
        <v>131.1</v>
      </c>
      <c r="U122" s="3">
        <v>134.8</v>
      </c>
      <c r="V122" s="69">
        <f t="shared" si="6"/>
        <v>401.3</v>
      </c>
      <c r="W122" s="75">
        <v>126</v>
      </c>
      <c r="X122" s="3">
        <v>128.5</v>
      </c>
      <c r="Y122" s="3">
        <v>127.4</v>
      </c>
      <c r="Z122" s="3">
        <f t="shared" si="7"/>
        <v>381.9</v>
      </c>
      <c r="AA122" s="3">
        <v>115.1</v>
      </c>
      <c r="AB122" s="3">
        <v>119.7</v>
      </c>
      <c r="AC122" s="3">
        <v>125.8</v>
      </c>
      <c r="AD122" s="68">
        <f t="shared" si="8"/>
        <v>245.5</v>
      </c>
      <c r="AE122" s="3">
        <v>129.1</v>
      </c>
      <c r="AF122" s="3">
        <v>123.6</v>
      </c>
      <c r="AG122" s="3">
        <v>122.5</v>
      </c>
      <c r="AH122" s="3">
        <v>130.3</v>
      </c>
      <c r="AI122" s="3">
        <f t="shared" si="9"/>
        <v>3509</v>
      </c>
    </row>
    <row r="123" spans="1:35">
      <c r="A123" s="3" t="s">
        <v>16</v>
      </c>
      <c r="B123" s="3">
        <v>2016</v>
      </c>
      <c r="C123" s="3" t="s">
        <v>15</v>
      </c>
      <c r="D123" s="3">
        <v>125</v>
      </c>
      <c r="E123" s="3">
        <v>142.1</v>
      </c>
      <c r="F123" s="3">
        <v>127</v>
      </c>
      <c r="G123" s="3">
        <v>130.4</v>
      </c>
      <c r="H123" s="3">
        <v>109.6</v>
      </c>
      <c r="I123" s="3">
        <v>133.5</v>
      </c>
      <c r="J123" s="3">
        <v>151.4</v>
      </c>
      <c r="K123" s="3">
        <v>182.8</v>
      </c>
      <c r="L123" s="3">
        <v>111.1</v>
      </c>
      <c r="M123" s="3">
        <v>141.5</v>
      </c>
      <c r="N123" s="3">
        <v>121.5</v>
      </c>
      <c r="O123" s="3">
        <v>136.3</v>
      </c>
      <c r="P123" s="3">
        <v>134.6</v>
      </c>
      <c r="Q123" s="68">
        <f t="shared" si="5"/>
        <v>1746.8</v>
      </c>
      <c r="R123" s="3">
        <v>142.2</v>
      </c>
      <c r="S123" s="3">
        <v>127.2</v>
      </c>
      <c r="T123" s="3">
        <v>120.7</v>
      </c>
      <c r="U123" s="3">
        <v>126.2</v>
      </c>
      <c r="V123" s="69">
        <f t="shared" si="6"/>
        <v>374.1</v>
      </c>
      <c r="W123" s="3">
        <v>126</v>
      </c>
      <c r="X123" s="3">
        <v>123.2</v>
      </c>
      <c r="Y123" s="3">
        <v>115</v>
      </c>
      <c r="Z123" s="3">
        <f t="shared" si="7"/>
        <v>364.2</v>
      </c>
      <c r="AA123" s="3">
        <v>110.7</v>
      </c>
      <c r="AB123" s="3">
        <v>118.5</v>
      </c>
      <c r="AC123" s="3">
        <v>120.3</v>
      </c>
      <c r="AD123" s="68">
        <f t="shared" si="8"/>
        <v>238.8</v>
      </c>
      <c r="AE123" s="3">
        <v>128</v>
      </c>
      <c r="AF123" s="3">
        <v>119.8</v>
      </c>
      <c r="AG123" s="3">
        <v>118.7</v>
      </c>
      <c r="AH123" s="3">
        <v>126.6</v>
      </c>
      <c r="AI123" s="3">
        <f t="shared" si="9"/>
        <v>3469.9</v>
      </c>
    </row>
    <row r="124" spans="1:35">
      <c r="A124" s="3" t="s">
        <v>17</v>
      </c>
      <c r="B124" s="3">
        <v>2016</v>
      </c>
      <c r="C124" s="3" t="s">
        <v>15</v>
      </c>
      <c r="D124" s="3">
        <v>126.8</v>
      </c>
      <c r="E124" s="3">
        <v>139.1</v>
      </c>
      <c r="F124" s="3">
        <v>125.4</v>
      </c>
      <c r="G124" s="3">
        <v>131.7</v>
      </c>
      <c r="H124" s="3">
        <v>115</v>
      </c>
      <c r="I124" s="3">
        <v>136</v>
      </c>
      <c r="J124" s="3">
        <v>145.1</v>
      </c>
      <c r="K124" s="3">
        <v>171.7</v>
      </c>
      <c r="L124" s="3">
        <v>108.7</v>
      </c>
      <c r="M124" s="3">
        <v>135.3</v>
      </c>
      <c r="N124" s="3">
        <v>124.2</v>
      </c>
      <c r="O124" s="3">
        <v>137.4</v>
      </c>
      <c r="P124" s="3">
        <v>134</v>
      </c>
      <c r="Q124" s="68">
        <f t="shared" si="5"/>
        <v>1730.4</v>
      </c>
      <c r="R124" s="3">
        <v>137.7</v>
      </c>
      <c r="S124" s="3">
        <v>132.2</v>
      </c>
      <c r="T124" s="3">
        <v>126.8</v>
      </c>
      <c r="U124" s="3">
        <v>131.4</v>
      </c>
      <c r="V124" s="69">
        <f t="shared" si="6"/>
        <v>390.4</v>
      </c>
      <c r="W124" s="3">
        <v>126</v>
      </c>
      <c r="X124" s="3">
        <v>126</v>
      </c>
      <c r="Y124" s="3">
        <v>122.7</v>
      </c>
      <c r="Z124" s="3">
        <f t="shared" si="7"/>
        <v>374.7</v>
      </c>
      <c r="AA124" s="3">
        <v>112.8</v>
      </c>
      <c r="AB124" s="3">
        <v>119.2</v>
      </c>
      <c r="AC124" s="3">
        <v>123.7</v>
      </c>
      <c r="AD124" s="68">
        <f t="shared" si="8"/>
        <v>242.9</v>
      </c>
      <c r="AE124" s="3">
        <v>128.5</v>
      </c>
      <c r="AF124" s="3">
        <v>121.5</v>
      </c>
      <c r="AG124" s="3">
        <v>120.7</v>
      </c>
      <c r="AH124" s="3">
        <v>128.6</v>
      </c>
      <c r="AI124" s="3">
        <f t="shared" si="9"/>
        <v>3488.2</v>
      </c>
    </row>
    <row r="125" spans="1:35">
      <c r="A125" s="3" t="s">
        <v>14</v>
      </c>
      <c r="B125" s="3">
        <v>2016</v>
      </c>
      <c r="C125" s="3" t="s">
        <v>30</v>
      </c>
      <c r="D125" s="3">
        <v>128.6</v>
      </c>
      <c r="E125" s="3">
        <v>138.6</v>
      </c>
      <c r="F125" s="3">
        <v>126.6</v>
      </c>
      <c r="G125" s="3">
        <v>133.6</v>
      </c>
      <c r="H125" s="3">
        <v>118.6</v>
      </c>
      <c r="I125" s="3">
        <v>137.4</v>
      </c>
      <c r="J125" s="3">
        <v>152.5</v>
      </c>
      <c r="K125" s="3">
        <v>169.2</v>
      </c>
      <c r="L125" s="3">
        <v>108.8</v>
      </c>
      <c r="M125" s="3">
        <v>133.1</v>
      </c>
      <c r="N125" s="3">
        <v>126.4</v>
      </c>
      <c r="O125" s="3">
        <v>139.2</v>
      </c>
      <c r="P125" s="3">
        <v>136</v>
      </c>
      <c r="Q125" s="68">
        <f t="shared" si="5"/>
        <v>1748.6</v>
      </c>
      <c r="R125" s="3">
        <v>137.2</v>
      </c>
      <c r="S125" s="3">
        <v>136.3</v>
      </c>
      <c r="T125" s="3">
        <v>131.6</v>
      </c>
      <c r="U125" s="3">
        <v>135.6</v>
      </c>
      <c r="V125" s="69">
        <f t="shared" si="6"/>
        <v>403.5</v>
      </c>
      <c r="W125" s="75">
        <v>125.5</v>
      </c>
      <c r="X125" s="3">
        <v>129.3</v>
      </c>
      <c r="Y125" s="3">
        <v>128</v>
      </c>
      <c r="Z125" s="3">
        <f t="shared" si="7"/>
        <v>382.8</v>
      </c>
      <c r="AA125" s="3">
        <v>116.3</v>
      </c>
      <c r="AB125" s="3">
        <v>119.9</v>
      </c>
      <c r="AC125" s="3">
        <v>126.2</v>
      </c>
      <c r="AD125" s="68">
        <f t="shared" si="8"/>
        <v>246.1</v>
      </c>
      <c r="AE125" s="3">
        <v>130.2</v>
      </c>
      <c r="AF125" s="3">
        <v>124.1</v>
      </c>
      <c r="AG125" s="3">
        <v>123.3</v>
      </c>
      <c r="AH125" s="3">
        <v>131.9</v>
      </c>
      <c r="AI125" s="3">
        <f t="shared" si="9"/>
        <v>3544</v>
      </c>
    </row>
    <row r="126" spans="1:35">
      <c r="A126" s="3" t="s">
        <v>16</v>
      </c>
      <c r="B126" s="3">
        <v>2016</v>
      </c>
      <c r="C126" s="3" t="s">
        <v>30</v>
      </c>
      <c r="D126" s="3">
        <v>125.9</v>
      </c>
      <c r="E126" s="3">
        <v>143.9</v>
      </c>
      <c r="F126" s="3">
        <v>130.9</v>
      </c>
      <c r="G126" s="3">
        <v>131</v>
      </c>
      <c r="H126" s="3">
        <v>110.2</v>
      </c>
      <c r="I126" s="3">
        <v>135.5</v>
      </c>
      <c r="J126" s="3">
        <v>173.7</v>
      </c>
      <c r="K126" s="3">
        <v>184.4</v>
      </c>
      <c r="L126" s="3">
        <v>112</v>
      </c>
      <c r="M126" s="3">
        <v>142.8</v>
      </c>
      <c r="N126" s="3">
        <v>121.6</v>
      </c>
      <c r="O126" s="3">
        <v>136.9</v>
      </c>
      <c r="P126" s="3">
        <v>138.2</v>
      </c>
      <c r="Q126" s="68">
        <f t="shared" si="5"/>
        <v>1787</v>
      </c>
      <c r="R126" s="3">
        <v>142.7</v>
      </c>
      <c r="S126" s="3">
        <v>127.6</v>
      </c>
      <c r="T126" s="3">
        <v>121.1</v>
      </c>
      <c r="U126" s="3">
        <v>126.6</v>
      </c>
      <c r="V126" s="69">
        <f t="shared" si="6"/>
        <v>375.3</v>
      </c>
      <c r="W126" s="3">
        <v>125.5</v>
      </c>
      <c r="X126" s="3">
        <v>123.2</v>
      </c>
      <c r="Y126" s="3">
        <v>115.5</v>
      </c>
      <c r="Z126" s="3">
        <f t="shared" si="7"/>
        <v>364.2</v>
      </c>
      <c r="AA126" s="3">
        <v>112.3</v>
      </c>
      <c r="AB126" s="3">
        <v>118.8</v>
      </c>
      <c r="AC126" s="3">
        <v>120.6</v>
      </c>
      <c r="AD126" s="68">
        <f t="shared" si="8"/>
        <v>239.4</v>
      </c>
      <c r="AE126" s="3">
        <v>129.3</v>
      </c>
      <c r="AF126" s="3">
        <v>119.9</v>
      </c>
      <c r="AG126" s="3">
        <v>119.6</v>
      </c>
      <c r="AH126" s="3">
        <v>128.1</v>
      </c>
      <c r="AI126" s="3">
        <f t="shared" si="9"/>
        <v>3517.8</v>
      </c>
    </row>
    <row r="127" spans="1:35">
      <c r="A127" s="3" t="s">
        <v>17</v>
      </c>
      <c r="B127" s="3">
        <v>2016</v>
      </c>
      <c r="C127" s="3" t="s">
        <v>30</v>
      </c>
      <c r="D127" s="3">
        <v>127.7</v>
      </c>
      <c r="E127" s="3">
        <v>140.5</v>
      </c>
      <c r="F127" s="3">
        <v>128.3</v>
      </c>
      <c r="G127" s="3">
        <v>132.6</v>
      </c>
      <c r="H127" s="3">
        <v>115.5</v>
      </c>
      <c r="I127" s="3">
        <v>136.5</v>
      </c>
      <c r="J127" s="3">
        <v>159.7</v>
      </c>
      <c r="K127" s="3">
        <v>174.3</v>
      </c>
      <c r="L127" s="3">
        <v>109.9</v>
      </c>
      <c r="M127" s="3">
        <v>136.3</v>
      </c>
      <c r="N127" s="3">
        <v>124.4</v>
      </c>
      <c r="O127" s="3">
        <v>138.1</v>
      </c>
      <c r="P127" s="3">
        <v>136.8</v>
      </c>
      <c r="Q127" s="68">
        <f t="shared" si="5"/>
        <v>1760.6</v>
      </c>
      <c r="R127" s="3">
        <v>138.7</v>
      </c>
      <c r="S127" s="3">
        <v>132.9</v>
      </c>
      <c r="T127" s="3">
        <v>127.2</v>
      </c>
      <c r="U127" s="3">
        <v>132</v>
      </c>
      <c r="V127" s="69">
        <f t="shared" si="6"/>
        <v>392.1</v>
      </c>
      <c r="W127" s="3">
        <v>125.5</v>
      </c>
      <c r="X127" s="3">
        <v>126.4</v>
      </c>
      <c r="Y127" s="3">
        <v>123.3</v>
      </c>
      <c r="Z127" s="3">
        <f t="shared" si="7"/>
        <v>375.2</v>
      </c>
      <c r="AA127" s="3">
        <v>114.2</v>
      </c>
      <c r="AB127" s="3">
        <v>119.4</v>
      </c>
      <c r="AC127" s="3">
        <v>124.1</v>
      </c>
      <c r="AD127" s="68">
        <f t="shared" si="8"/>
        <v>243.5</v>
      </c>
      <c r="AE127" s="3">
        <v>129.7</v>
      </c>
      <c r="AF127" s="3">
        <v>121.7</v>
      </c>
      <c r="AG127" s="3">
        <v>121.5</v>
      </c>
      <c r="AH127" s="3">
        <v>130.1</v>
      </c>
      <c r="AI127" s="3">
        <f t="shared" si="9"/>
        <v>3527.3</v>
      </c>
    </row>
    <row r="128" spans="1:35">
      <c r="A128" s="3" t="s">
        <v>14</v>
      </c>
      <c r="B128" s="3">
        <v>2016</v>
      </c>
      <c r="C128" s="3" t="s">
        <v>31</v>
      </c>
      <c r="D128" s="3">
        <v>129.3</v>
      </c>
      <c r="E128" s="3">
        <v>139.5</v>
      </c>
      <c r="F128" s="3">
        <v>129.6</v>
      </c>
      <c r="G128" s="3">
        <v>134.5</v>
      </c>
      <c r="H128" s="3">
        <v>119.5</v>
      </c>
      <c r="I128" s="3">
        <v>138.5</v>
      </c>
      <c r="J128" s="3">
        <v>158.2</v>
      </c>
      <c r="K128" s="3">
        <v>171.8</v>
      </c>
      <c r="L128" s="3">
        <v>110.3</v>
      </c>
      <c r="M128" s="3">
        <v>134.3</v>
      </c>
      <c r="N128" s="3">
        <v>127.3</v>
      </c>
      <c r="O128" s="3">
        <v>139.9</v>
      </c>
      <c r="P128" s="3">
        <v>137.6</v>
      </c>
      <c r="Q128" s="68">
        <f t="shared" si="5"/>
        <v>1770.3</v>
      </c>
      <c r="R128" s="3">
        <v>138</v>
      </c>
      <c r="S128" s="3">
        <v>137.2</v>
      </c>
      <c r="T128" s="3">
        <v>132.2</v>
      </c>
      <c r="U128" s="3">
        <v>136.5</v>
      </c>
      <c r="V128" s="69">
        <f t="shared" si="6"/>
        <v>405.9</v>
      </c>
      <c r="W128" s="75">
        <v>126.4</v>
      </c>
      <c r="X128" s="3">
        <v>130</v>
      </c>
      <c r="Y128" s="3">
        <v>128.2</v>
      </c>
      <c r="Z128" s="3">
        <f t="shared" si="7"/>
        <v>384.6</v>
      </c>
      <c r="AA128" s="3">
        <v>116.4</v>
      </c>
      <c r="AB128" s="3">
        <v>120.9</v>
      </c>
      <c r="AC128" s="3">
        <v>126.7</v>
      </c>
      <c r="AD128" s="68">
        <f t="shared" si="8"/>
        <v>247.6</v>
      </c>
      <c r="AE128" s="3">
        <v>130.8</v>
      </c>
      <c r="AF128" s="3">
        <v>125.2</v>
      </c>
      <c r="AG128" s="3">
        <v>123.8</v>
      </c>
      <c r="AH128" s="3">
        <v>133</v>
      </c>
      <c r="AI128" s="3">
        <f t="shared" si="9"/>
        <v>3575.6</v>
      </c>
    </row>
    <row r="129" spans="1:35">
      <c r="A129" s="3" t="s">
        <v>16</v>
      </c>
      <c r="B129" s="3">
        <v>2016</v>
      </c>
      <c r="C129" s="3" t="s">
        <v>31</v>
      </c>
      <c r="D129" s="3">
        <v>126.8</v>
      </c>
      <c r="E129" s="3">
        <v>144.2</v>
      </c>
      <c r="F129" s="3">
        <v>136.6</v>
      </c>
      <c r="G129" s="3">
        <v>131.8</v>
      </c>
      <c r="H129" s="3">
        <v>111</v>
      </c>
      <c r="I129" s="3">
        <v>137</v>
      </c>
      <c r="J129" s="3">
        <v>179.5</v>
      </c>
      <c r="K129" s="3">
        <v>188.4</v>
      </c>
      <c r="L129" s="3">
        <v>113.3</v>
      </c>
      <c r="M129" s="3">
        <v>143.9</v>
      </c>
      <c r="N129" s="3">
        <v>121.7</v>
      </c>
      <c r="O129" s="3">
        <v>137.5</v>
      </c>
      <c r="P129" s="3">
        <v>139.8</v>
      </c>
      <c r="Q129" s="68">
        <f t="shared" si="5"/>
        <v>1811.5</v>
      </c>
      <c r="R129" s="3">
        <v>142.9</v>
      </c>
      <c r="S129" s="3">
        <v>127.9</v>
      </c>
      <c r="T129" s="3">
        <v>121.1</v>
      </c>
      <c r="U129" s="3">
        <v>126.9</v>
      </c>
      <c r="V129" s="69">
        <f t="shared" si="6"/>
        <v>375.9</v>
      </c>
      <c r="W129" s="3">
        <v>126.4</v>
      </c>
      <c r="X129" s="3">
        <v>123.5</v>
      </c>
      <c r="Y129" s="3">
        <v>115.5</v>
      </c>
      <c r="Z129" s="3">
        <f t="shared" si="7"/>
        <v>365.4</v>
      </c>
      <c r="AA129" s="3">
        <v>111.7</v>
      </c>
      <c r="AB129" s="3">
        <v>120</v>
      </c>
      <c r="AC129" s="3">
        <v>120.9</v>
      </c>
      <c r="AD129" s="68">
        <f t="shared" si="8"/>
        <v>240.9</v>
      </c>
      <c r="AE129" s="3">
        <v>130.8</v>
      </c>
      <c r="AF129" s="3">
        <v>120.3</v>
      </c>
      <c r="AG129" s="3">
        <v>119.9</v>
      </c>
      <c r="AH129" s="3">
        <v>129</v>
      </c>
      <c r="AI129" s="3">
        <f t="shared" si="9"/>
        <v>3548.3</v>
      </c>
    </row>
    <row r="130" spans="1:35">
      <c r="A130" s="3" t="s">
        <v>17</v>
      </c>
      <c r="B130" s="3">
        <v>2016</v>
      </c>
      <c r="C130" s="3" t="s">
        <v>31</v>
      </c>
      <c r="D130" s="3">
        <v>128.5</v>
      </c>
      <c r="E130" s="3">
        <v>141.2</v>
      </c>
      <c r="F130" s="3">
        <v>132.3</v>
      </c>
      <c r="G130" s="3">
        <v>133.5</v>
      </c>
      <c r="H130" s="3">
        <v>116.4</v>
      </c>
      <c r="I130" s="3">
        <v>137.8</v>
      </c>
      <c r="J130" s="3">
        <v>165.4</v>
      </c>
      <c r="K130" s="3">
        <v>177.4</v>
      </c>
      <c r="L130" s="3">
        <v>111.3</v>
      </c>
      <c r="M130" s="3">
        <v>137.5</v>
      </c>
      <c r="N130" s="3">
        <v>125</v>
      </c>
      <c r="O130" s="3">
        <v>138.8</v>
      </c>
      <c r="P130" s="3">
        <v>138.4</v>
      </c>
      <c r="Q130" s="68">
        <f t="shared" si="5"/>
        <v>1783.5</v>
      </c>
      <c r="R130" s="3">
        <v>139.3</v>
      </c>
      <c r="S130" s="3">
        <v>133.5</v>
      </c>
      <c r="T130" s="3">
        <v>127.6</v>
      </c>
      <c r="U130" s="3">
        <v>132.7</v>
      </c>
      <c r="V130" s="69">
        <f t="shared" si="6"/>
        <v>393.8</v>
      </c>
      <c r="W130" s="3">
        <v>126.4</v>
      </c>
      <c r="X130" s="3">
        <v>126.9</v>
      </c>
      <c r="Y130" s="3">
        <v>123.4</v>
      </c>
      <c r="Z130" s="3">
        <f t="shared" si="7"/>
        <v>376.7</v>
      </c>
      <c r="AA130" s="3">
        <v>113.9</v>
      </c>
      <c r="AB130" s="3">
        <v>120.5</v>
      </c>
      <c r="AC130" s="3">
        <v>124.5</v>
      </c>
      <c r="AD130" s="68">
        <f t="shared" si="8"/>
        <v>245</v>
      </c>
      <c r="AE130" s="3">
        <v>130.8</v>
      </c>
      <c r="AF130" s="3">
        <v>122.4</v>
      </c>
      <c r="AG130" s="3">
        <v>121.9</v>
      </c>
      <c r="AH130" s="3">
        <v>131.1</v>
      </c>
      <c r="AI130" s="3">
        <f t="shared" si="9"/>
        <v>3558.4</v>
      </c>
    </row>
    <row r="131" spans="1:35">
      <c r="A131" s="3" t="s">
        <v>14</v>
      </c>
      <c r="B131" s="3">
        <v>2016</v>
      </c>
      <c r="C131" s="3" t="s">
        <v>32</v>
      </c>
      <c r="D131" s="3">
        <v>130.1</v>
      </c>
      <c r="E131" s="3">
        <v>138.8</v>
      </c>
      <c r="F131" s="3">
        <v>130.3</v>
      </c>
      <c r="G131" s="3">
        <v>135.3</v>
      </c>
      <c r="H131" s="3">
        <v>119.9</v>
      </c>
      <c r="I131" s="3">
        <v>140.2</v>
      </c>
      <c r="J131" s="3">
        <v>156.9</v>
      </c>
      <c r="K131" s="3">
        <v>172.2</v>
      </c>
      <c r="L131" s="3">
        <v>112.1</v>
      </c>
      <c r="M131" s="3">
        <v>134.9</v>
      </c>
      <c r="N131" s="3">
        <v>128.1</v>
      </c>
      <c r="O131" s="3">
        <v>140.7</v>
      </c>
      <c r="P131" s="3">
        <v>138</v>
      </c>
      <c r="Q131" s="68">
        <f t="shared" ref="Q131:Q194" si="10">SUM(D131:P131)</f>
        <v>1777.5</v>
      </c>
      <c r="R131" s="3">
        <v>138.9</v>
      </c>
      <c r="S131" s="3">
        <v>137.8</v>
      </c>
      <c r="T131" s="3">
        <v>133</v>
      </c>
      <c r="U131" s="3">
        <v>137.1</v>
      </c>
      <c r="V131" s="69">
        <f t="shared" ref="V131:V194" si="11">SUM(S131:U131)</f>
        <v>407.9</v>
      </c>
      <c r="W131" s="75">
        <v>127.3</v>
      </c>
      <c r="X131" s="3">
        <v>130.6</v>
      </c>
      <c r="Y131" s="3">
        <v>129.1</v>
      </c>
      <c r="Z131" s="3">
        <f t="shared" ref="Z131:Z194" si="12">W131+X131+Y131</f>
        <v>387</v>
      </c>
      <c r="AA131" s="3">
        <v>116</v>
      </c>
      <c r="AB131" s="3">
        <v>122</v>
      </c>
      <c r="AC131" s="3">
        <v>127</v>
      </c>
      <c r="AD131" s="68">
        <f t="shared" ref="AD131:AD194" si="13">SUM(AB131:AC131)</f>
        <v>249</v>
      </c>
      <c r="AE131" s="3">
        <v>131.9</v>
      </c>
      <c r="AF131" s="3">
        <v>125.5</v>
      </c>
      <c r="AG131" s="3">
        <v>124.2</v>
      </c>
      <c r="AH131" s="3">
        <v>133.5</v>
      </c>
      <c r="AI131" s="3">
        <f t="shared" ref="AI131:AI194" si="14">SUM(Q131,R131,V131,Z131,AA131,AD131,AE131,AF131,AG131,AH131)</f>
        <v>3591.4</v>
      </c>
    </row>
    <row r="132" spans="1:35">
      <c r="A132" s="3" t="s">
        <v>16</v>
      </c>
      <c r="B132" s="3">
        <v>2016</v>
      </c>
      <c r="C132" s="3" t="s">
        <v>32</v>
      </c>
      <c r="D132" s="3">
        <v>127.6</v>
      </c>
      <c r="E132" s="3">
        <v>140.3</v>
      </c>
      <c r="F132" s="3">
        <v>133.7</v>
      </c>
      <c r="G132" s="3">
        <v>132.2</v>
      </c>
      <c r="H132" s="3">
        <v>111.8</v>
      </c>
      <c r="I132" s="3">
        <v>135.8</v>
      </c>
      <c r="J132" s="3">
        <v>163.5</v>
      </c>
      <c r="K132" s="3">
        <v>182.3</v>
      </c>
      <c r="L132" s="3">
        <v>114.6</v>
      </c>
      <c r="M132" s="3">
        <v>144.6</v>
      </c>
      <c r="N132" s="3">
        <v>121.9</v>
      </c>
      <c r="O132" s="3">
        <v>138.1</v>
      </c>
      <c r="P132" s="3">
        <v>137.6</v>
      </c>
      <c r="Q132" s="68">
        <f t="shared" si="10"/>
        <v>1784</v>
      </c>
      <c r="R132" s="3">
        <v>143.6</v>
      </c>
      <c r="S132" s="3">
        <v>128.3</v>
      </c>
      <c r="T132" s="3">
        <v>121.4</v>
      </c>
      <c r="U132" s="3">
        <v>127.3</v>
      </c>
      <c r="V132" s="69">
        <f t="shared" si="11"/>
        <v>377</v>
      </c>
      <c r="W132" s="3">
        <v>127.3</v>
      </c>
      <c r="X132" s="3">
        <v>123.9</v>
      </c>
      <c r="Y132" s="3">
        <v>114.7</v>
      </c>
      <c r="Z132" s="3">
        <f t="shared" si="12"/>
        <v>365.9</v>
      </c>
      <c r="AA132" s="3">
        <v>110.4</v>
      </c>
      <c r="AB132" s="3">
        <v>120.9</v>
      </c>
      <c r="AC132" s="3">
        <v>121.2</v>
      </c>
      <c r="AD132" s="68">
        <f t="shared" si="13"/>
        <v>242.1</v>
      </c>
      <c r="AE132" s="3">
        <v>131.5</v>
      </c>
      <c r="AF132" s="3">
        <v>120.6</v>
      </c>
      <c r="AG132" s="3">
        <v>119.9</v>
      </c>
      <c r="AH132" s="3">
        <v>128.4</v>
      </c>
      <c r="AI132" s="3">
        <f t="shared" si="14"/>
        <v>3523.4</v>
      </c>
    </row>
    <row r="133" spans="1:35">
      <c r="A133" s="3" t="s">
        <v>17</v>
      </c>
      <c r="B133" s="3">
        <v>2016</v>
      </c>
      <c r="C133" s="3" t="s">
        <v>32</v>
      </c>
      <c r="D133" s="3">
        <v>129.3</v>
      </c>
      <c r="E133" s="3">
        <v>139.3</v>
      </c>
      <c r="F133" s="3">
        <v>131.6</v>
      </c>
      <c r="G133" s="3">
        <v>134.1</v>
      </c>
      <c r="H133" s="3">
        <v>116.9</v>
      </c>
      <c r="I133" s="3">
        <v>138.1</v>
      </c>
      <c r="J133" s="3">
        <v>159.1</v>
      </c>
      <c r="K133" s="3">
        <v>175.6</v>
      </c>
      <c r="L133" s="3">
        <v>112.9</v>
      </c>
      <c r="M133" s="3">
        <v>138.1</v>
      </c>
      <c r="N133" s="3">
        <v>125.5</v>
      </c>
      <c r="O133" s="3">
        <v>139.5</v>
      </c>
      <c r="P133" s="3">
        <v>137.9</v>
      </c>
      <c r="Q133" s="68">
        <f t="shared" si="10"/>
        <v>1777.9</v>
      </c>
      <c r="R133" s="3">
        <v>140.2</v>
      </c>
      <c r="S133" s="3">
        <v>134.1</v>
      </c>
      <c r="T133" s="3">
        <v>128.2</v>
      </c>
      <c r="U133" s="3">
        <v>133.2</v>
      </c>
      <c r="V133" s="69">
        <f t="shared" si="11"/>
        <v>395.5</v>
      </c>
      <c r="W133" s="3">
        <v>127.3</v>
      </c>
      <c r="X133" s="3">
        <v>127.4</v>
      </c>
      <c r="Y133" s="3">
        <v>123.6</v>
      </c>
      <c r="Z133" s="3">
        <f t="shared" si="12"/>
        <v>378.3</v>
      </c>
      <c r="AA133" s="3">
        <v>113.1</v>
      </c>
      <c r="AB133" s="3">
        <v>121.5</v>
      </c>
      <c r="AC133" s="3">
        <v>124.8</v>
      </c>
      <c r="AD133" s="68">
        <f t="shared" si="13"/>
        <v>246.3</v>
      </c>
      <c r="AE133" s="3">
        <v>131.7</v>
      </c>
      <c r="AF133" s="3">
        <v>122.7</v>
      </c>
      <c r="AG133" s="3">
        <v>122.1</v>
      </c>
      <c r="AH133" s="3">
        <v>131.1</v>
      </c>
      <c r="AI133" s="3">
        <f t="shared" si="14"/>
        <v>3558.9</v>
      </c>
    </row>
    <row r="134" spans="1:35">
      <c r="A134" s="3" t="s">
        <v>14</v>
      </c>
      <c r="B134" s="3">
        <v>2016</v>
      </c>
      <c r="C134" s="3" t="s">
        <v>33</v>
      </c>
      <c r="D134" s="3">
        <v>130.8</v>
      </c>
      <c r="E134" s="3">
        <v>138.2</v>
      </c>
      <c r="F134" s="3">
        <v>130.5</v>
      </c>
      <c r="G134" s="3">
        <v>135.5</v>
      </c>
      <c r="H134" s="3">
        <v>120.2</v>
      </c>
      <c r="I134" s="3">
        <v>139.2</v>
      </c>
      <c r="J134" s="3">
        <v>149.5</v>
      </c>
      <c r="K134" s="3">
        <v>170.4</v>
      </c>
      <c r="L134" s="3">
        <v>113.1</v>
      </c>
      <c r="M134" s="3">
        <v>135.8</v>
      </c>
      <c r="N134" s="3">
        <v>128.8</v>
      </c>
      <c r="O134" s="3">
        <v>141.5</v>
      </c>
      <c r="P134" s="3">
        <v>137.2</v>
      </c>
      <c r="Q134" s="68">
        <f t="shared" si="10"/>
        <v>1770.7</v>
      </c>
      <c r="R134" s="3">
        <v>139.9</v>
      </c>
      <c r="S134" s="3">
        <v>138.5</v>
      </c>
      <c r="T134" s="3">
        <v>133.5</v>
      </c>
      <c r="U134" s="3">
        <v>137.8</v>
      </c>
      <c r="V134" s="69">
        <f t="shared" si="11"/>
        <v>409.8</v>
      </c>
      <c r="W134" s="75">
        <v>127.9</v>
      </c>
      <c r="X134" s="3">
        <v>131.1</v>
      </c>
      <c r="Y134" s="3">
        <v>129.7</v>
      </c>
      <c r="Z134" s="3">
        <f t="shared" si="12"/>
        <v>388.7</v>
      </c>
      <c r="AA134" s="3">
        <v>117</v>
      </c>
      <c r="AB134" s="3">
        <v>122.8</v>
      </c>
      <c r="AC134" s="3">
        <v>127.8</v>
      </c>
      <c r="AD134" s="68">
        <f t="shared" si="13"/>
        <v>250.6</v>
      </c>
      <c r="AE134" s="3">
        <v>132.2</v>
      </c>
      <c r="AF134" s="3">
        <v>125.7</v>
      </c>
      <c r="AG134" s="3">
        <v>124.9</v>
      </c>
      <c r="AH134" s="3">
        <v>133.4</v>
      </c>
      <c r="AI134" s="3">
        <f t="shared" si="14"/>
        <v>3592.9</v>
      </c>
    </row>
    <row r="135" spans="1:35">
      <c r="A135" s="3" t="s">
        <v>16</v>
      </c>
      <c r="B135" s="3">
        <v>2016</v>
      </c>
      <c r="C135" s="3" t="s">
        <v>33</v>
      </c>
      <c r="D135" s="3">
        <v>128.1</v>
      </c>
      <c r="E135" s="3">
        <v>137.7</v>
      </c>
      <c r="F135" s="3">
        <v>130.6</v>
      </c>
      <c r="G135" s="3">
        <v>132.6</v>
      </c>
      <c r="H135" s="3">
        <v>111.9</v>
      </c>
      <c r="I135" s="3">
        <v>132.5</v>
      </c>
      <c r="J135" s="3">
        <v>152.9</v>
      </c>
      <c r="K135" s="3">
        <v>173.6</v>
      </c>
      <c r="L135" s="3">
        <v>115.1</v>
      </c>
      <c r="M135" s="3">
        <v>144.8</v>
      </c>
      <c r="N135" s="3">
        <v>122.1</v>
      </c>
      <c r="O135" s="3">
        <v>138.8</v>
      </c>
      <c r="P135" s="3">
        <v>135.7</v>
      </c>
      <c r="Q135" s="68">
        <f t="shared" si="10"/>
        <v>1756.4</v>
      </c>
      <c r="R135" s="3">
        <v>143.9</v>
      </c>
      <c r="S135" s="3">
        <v>128.7</v>
      </c>
      <c r="T135" s="3">
        <v>121.6</v>
      </c>
      <c r="U135" s="3">
        <v>127.7</v>
      </c>
      <c r="V135" s="69">
        <f t="shared" si="11"/>
        <v>378</v>
      </c>
      <c r="W135" s="3">
        <v>127.9</v>
      </c>
      <c r="X135" s="3">
        <v>124.3</v>
      </c>
      <c r="Y135" s="3">
        <v>114.8</v>
      </c>
      <c r="Z135" s="3">
        <f t="shared" si="12"/>
        <v>367</v>
      </c>
      <c r="AA135" s="3">
        <v>111.8</v>
      </c>
      <c r="AB135" s="3">
        <v>121.2</v>
      </c>
      <c r="AC135" s="3">
        <v>121.4</v>
      </c>
      <c r="AD135" s="68">
        <f t="shared" si="13"/>
        <v>242.6</v>
      </c>
      <c r="AE135" s="3">
        <v>131.6</v>
      </c>
      <c r="AF135" s="3">
        <v>120.8</v>
      </c>
      <c r="AG135" s="3">
        <v>120.5</v>
      </c>
      <c r="AH135" s="3">
        <v>128</v>
      </c>
      <c r="AI135" s="3">
        <f t="shared" si="14"/>
        <v>3500.6</v>
      </c>
    </row>
    <row r="136" spans="1:35">
      <c r="A136" s="3" t="s">
        <v>17</v>
      </c>
      <c r="B136" s="3">
        <v>2016</v>
      </c>
      <c r="C136" s="3" t="s">
        <v>33</v>
      </c>
      <c r="D136" s="3">
        <v>129.9</v>
      </c>
      <c r="E136" s="3">
        <v>138</v>
      </c>
      <c r="F136" s="3">
        <v>130.5</v>
      </c>
      <c r="G136" s="3">
        <v>134.4</v>
      </c>
      <c r="H136" s="3">
        <v>117.2</v>
      </c>
      <c r="I136" s="3">
        <v>136.1</v>
      </c>
      <c r="J136" s="3">
        <v>150.7</v>
      </c>
      <c r="K136" s="3">
        <v>171.5</v>
      </c>
      <c r="L136" s="3">
        <v>113.8</v>
      </c>
      <c r="M136" s="3">
        <v>138.8</v>
      </c>
      <c r="N136" s="3">
        <v>126</v>
      </c>
      <c r="O136" s="3">
        <v>140.2</v>
      </c>
      <c r="P136" s="3">
        <v>136.6</v>
      </c>
      <c r="Q136" s="68">
        <f t="shared" si="10"/>
        <v>1763.7</v>
      </c>
      <c r="R136" s="3">
        <v>141</v>
      </c>
      <c r="S136" s="3">
        <v>134.6</v>
      </c>
      <c r="T136" s="3">
        <v>128.6</v>
      </c>
      <c r="U136" s="3">
        <v>133.8</v>
      </c>
      <c r="V136" s="69">
        <f t="shared" si="11"/>
        <v>397</v>
      </c>
      <c r="W136" s="3">
        <v>127.9</v>
      </c>
      <c r="X136" s="3">
        <v>127.9</v>
      </c>
      <c r="Y136" s="3">
        <v>124.1</v>
      </c>
      <c r="Z136" s="3">
        <f t="shared" si="12"/>
        <v>379.9</v>
      </c>
      <c r="AA136" s="3">
        <v>114.3</v>
      </c>
      <c r="AB136" s="3">
        <v>122.1</v>
      </c>
      <c r="AC136" s="3">
        <v>125.4</v>
      </c>
      <c r="AD136" s="68">
        <f t="shared" si="13"/>
        <v>247.5</v>
      </c>
      <c r="AE136" s="3">
        <v>131.8</v>
      </c>
      <c r="AF136" s="3">
        <v>122.9</v>
      </c>
      <c r="AG136" s="3">
        <v>122.8</v>
      </c>
      <c r="AH136" s="3">
        <v>130.9</v>
      </c>
      <c r="AI136" s="3">
        <f t="shared" si="14"/>
        <v>3551.8</v>
      </c>
    </row>
    <row r="137" spans="1:35">
      <c r="A137" s="3" t="s">
        <v>14</v>
      </c>
      <c r="B137" s="3">
        <v>2016</v>
      </c>
      <c r="C137" s="3" t="s">
        <v>34</v>
      </c>
      <c r="D137" s="3">
        <v>131.3</v>
      </c>
      <c r="E137" s="3">
        <v>137.6</v>
      </c>
      <c r="F137" s="3">
        <v>130.1</v>
      </c>
      <c r="G137" s="3">
        <v>136</v>
      </c>
      <c r="H137" s="3">
        <v>120.8</v>
      </c>
      <c r="I137" s="3">
        <v>138.4</v>
      </c>
      <c r="J137" s="3">
        <v>149.2</v>
      </c>
      <c r="K137" s="3">
        <v>170.2</v>
      </c>
      <c r="L137" s="3">
        <v>113.4</v>
      </c>
      <c r="M137" s="3">
        <v>136.3</v>
      </c>
      <c r="N137" s="3">
        <v>128.7</v>
      </c>
      <c r="O137" s="3">
        <v>142.4</v>
      </c>
      <c r="P137" s="3">
        <v>137.4</v>
      </c>
      <c r="Q137" s="68">
        <f t="shared" si="10"/>
        <v>1771.8</v>
      </c>
      <c r="R137" s="3">
        <v>140.9</v>
      </c>
      <c r="S137" s="3">
        <v>139.6</v>
      </c>
      <c r="T137" s="3">
        <v>134.3</v>
      </c>
      <c r="U137" s="3">
        <v>138.8</v>
      </c>
      <c r="V137" s="69">
        <f t="shared" si="11"/>
        <v>412.7</v>
      </c>
      <c r="W137" s="75">
        <v>128.7</v>
      </c>
      <c r="X137" s="3">
        <v>131.8</v>
      </c>
      <c r="Y137" s="3">
        <v>129.8</v>
      </c>
      <c r="Z137" s="3">
        <f t="shared" si="12"/>
        <v>390.3</v>
      </c>
      <c r="AA137" s="3">
        <v>117.8</v>
      </c>
      <c r="AB137" s="3">
        <v>123</v>
      </c>
      <c r="AC137" s="3">
        <v>128.7</v>
      </c>
      <c r="AD137" s="68">
        <f t="shared" si="13"/>
        <v>251.7</v>
      </c>
      <c r="AE137" s="3">
        <v>133</v>
      </c>
      <c r="AF137" s="3">
        <v>126.5</v>
      </c>
      <c r="AG137" s="3">
        <v>125.7</v>
      </c>
      <c r="AH137" s="3">
        <v>133.8</v>
      </c>
      <c r="AI137" s="3">
        <f t="shared" si="14"/>
        <v>3604.2</v>
      </c>
    </row>
    <row r="138" spans="1:35">
      <c r="A138" s="3" t="s">
        <v>16</v>
      </c>
      <c r="B138" s="3">
        <v>2016</v>
      </c>
      <c r="C138" s="3" t="s">
        <v>34</v>
      </c>
      <c r="D138" s="3">
        <v>128.7</v>
      </c>
      <c r="E138" s="3">
        <v>138.4</v>
      </c>
      <c r="F138" s="3">
        <v>130.3</v>
      </c>
      <c r="G138" s="3">
        <v>132.7</v>
      </c>
      <c r="H138" s="3">
        <v>112.5</v>
      </c>
      <c r="I138" s="3">
        <v>130.4</v>
      </c>
      <c r="J138" s="3">
        <v>155.1</v>
      </c>
      <c r="K138" s="3">
        <v>175.7</v>
      </c>
      <c r="L138" s="3">
        <v>115.4</v>
      </c>
      <c r="M138" s="3">
        <v>145.3</v>
      </c>
      <c r="N138" s="3">
        <v>122.5</v>
      </c>
      <c r="O138" s="3">
        <v>139.6</v>
      </c>
      <c r="P138" s="3">
        <v>136.3</v>
      </c>
      <c r="Q138" s="68">
        <f t="shared" si="10"/>
        <v>1762.9</v>
      </c>
      <c r="R138" s="3">
        <v>144.3</v>
      </c>
      <c r="S138" s="3">
        <v>129.1</v>
      </c>
      <c r="T138" s="3">
        <v>121.9</v>
      </c>
      <c r="U138" s="3">
        <v>128</v>
      </c>
      <c r="V138" s="69">
        <f t="shared" si="11"/>
        <v>379</v>
      </c>
      <c r="W138" s="3">
        <v>128.7</v>
      </c>
      <c r="X138" s="3">
        <v>124.5</v>
      </c>
      <c r="Y138" s="3">
        <v>115.2</v>
      </c>
      <c r="Z138" s="3">
        <f t="shared" si="12"/>
        <v>368.4</v>
      </c>
      <c r="AA138" s="3">
        <v>112.8</v>
      </c>
      <c r="AB138" s="3">
        <v>120.8</v>
      </c>
      <c r="AC138" s="3">
        <v>121.8</v>
      </c>
      <c r="AD138" s="68">
        <f t="shared" si="13"/>
        <v>242.6</v>
      </c>
      <c r="AE138" s="3">
        <v>131.9</v>
      </c>
      <c r="AF138" s="3">
        <v>121.2</v>
      </c>
      <c r="AG138" s="3">
        <v>120.9</v>
      </c>
      <c r="AH138" s="3">
        <v>128.6</v>
      </c>
      <c r="AI138" s="3">
        <f t="shared" si="14"/>
        <v>3512.6</v>
      </c>
    </row>
    <row r="139" spans="1:35">
      <c r="A139" s="3" t="s">
        <v>17</v>
      </c>
      <c r="B139" s="3">
        <v>2016</v>
      </c>
      <c r="C139" s="3" t="s">
        <v>34</v>
      </c>
      <c r="D139" s="3">
        <v>130.5</v>
      </c>
      <c r="E139" s="3">
        <v>137.9</v>
      </c>
      <c r="F139" s="3">
        <v>130.2</v>
      </c>
      <c r="G139" s="3">
        <v>134.8</v>
      </c>
      <c r="H139" s="3">
        <v>117.8</v>
      </c>
      <c r="I139" s="3">
        <v>134.7</v>
      </c>
      <c r="J139" s="3">
        <v>151.2</v>
      </c>
      <c r="K139" s="3">
        <v>172.1</v>
      </c>
      <c r="L139" s="3">
        <v>114.1</v>
      </c>
      <c r="M139" s="3">
        <v>139.3</v>
      </c>
      <c r="N139" s="3">
        <v>126.1</v>
      </c>
      <c r="O139" s="3">
        <v>141.1</v>
      </c>
      <c r="P139" s="3">
        <v>137</v>
      </c>
      <c r="Q139" s="68">
        <f t="shared" si="10"/>
        <v>1766.8</v>
      </c>
      <c r="R139" s="3">
        <v>141.8</v>
      </c>
      <c r="S139" s="3">
        <v>135.5</v>
      </c>
      <c r="T139" s="3">
        <v>129.1</v>
      </c>
      <c r="U139" s="3">
        <v>134.5</v>
      </c>
      <c r="V139" s="69">
        <f t="shared" si="11"/>
        <v>399.1</v>
      </c>
      <c r="W139" s="3">
        <v>128.7</v>
      </c>
      <c r="X139" s="3">
        <v>128.4</v>
      </c>
      <c r="Y139" s="3">
        <v>124.3</v>
      </c>
      <c r="Z139" s="3">
        <f t="shared" si="12"/>
        <v>381.4</v>
      </c>
      <c r="AA139" s="3">
        <v>115.2</v>
      </c>
      <c r="AB139" s="3">
        <v>122.1</v>
      </c>
      <c r="AC139" s="3">
        <v>126.1</v>
      </c>
      <c r="AD139" s="68">
        <f t="shared" si="13"/>
        <v>248.2</v>
      </c>
      <c r="AE139" s="3">
        <v>132.4</v>
      </c>
      <c r="AF139" s="3">
        <v>123.5</v>
      </c>
      <c r="AG139" s="3">
        <v>123.4</v>
      </c>
      <c r="AH139" s="3">
        <v>131.4</v>
      </c>
      <c r="AI139" s="3">
        <f t="shared" si="14"/>
        <v>3563.2</v>
      </c>
    </row>
    <row r="140" spans="1:35">
      <c r="A140" s="3" t="s">
        <v>14</v>
      </c>
      <c r="B140" s="3">
        <v>2016</v>
      </c>
      <c r="C140" s="3" t="s">
        <v>36</v>
      </c>
      <c r="D140" s="3">
        <v>132</v>
      </c>
      <c r="E140" s="3">
        <v>137.4</v>
      </c>
      <c r="F140" s="3">
        <v>130.6</v>
      </c>
      <c r="G140" s="3">
        <v>136.2</v>
      </c>
      <c r="H140" s="3">
        <v>121.1</v>
      </c>
      <c r="I140" s="3">
        <v>136.9</v>
      </c>
      <c r="J140" s="3">
        <v>141.8</v>
      </c>
      <c r="K140" s="3">
        <v>170</v>
      </c>
      <c r="L140" s="3">
        <v>113.4</v>
      </c>
      <c r="M140" s="3">
        <v>136.8</v>
      </c>
      <c r="N140" s="3">
        <v>128.7</v>
      </c>
      <c r="O140" s="3">
        <v>143.1</v>
      </c>
      <c r="P140" s="3">
        <v>136.6</v>
      </c>
      <c r="Q140" s="68">
        <f t="shared" si="10"/>
        <v>1764.6</v>
      </c>
      <c r="R140" s="3">
        <v>141.2</v>
      </c>
      <c r="S140" s="3">
        <v>139.9</v>
      </c>
      <c r="T140" s="3">
        <v>134.5</v>
      </c>
      <c r="U140" s="3">
        <v>139.2</v>
      </c>
      <c r="V140" s="69">
        <f t="shared" si="11"/>
        <v>413.6</v>
      </c>
      <c r="W140" s="75">
        <v>129.1</v>
      </c>
      <c r="X140" s="3">
        <v>132.1</v>
      </c>
      <c r="Y140" s="3">
        <v>130.3</v>
      </c>
      <c r="Z140" s="3">
        <f t="shared" si="12"/>
        <v>391.5</v>
      </c>
      <c r="AA140" s="3">
        <v>118.2</v>
      </c>
      <c r="AB140" s="3">
        <v>123.5</v>
      </c>
      <c r="AC140" s="3">
        <v>129.1</v>
      </c>
      <c r="AD140" s="68">
        <f t="shared" si="13"/>
        <v>252.6</v>
      </c>
      <c r="AE140" s="3">
        <v>133.7</v>
      </c>
      <c r="AF140" s="3">
        <v>126.9</v>
      </c>
      <c r="AG140" s="3">
        <v>126.1</v>
      </c>
      <c r="AH140" s="3">
        <v>133.6</v>
      </c>
      <c r="AI140" s="3">
        <f t="shared" si="14"/>
        <v>3602</v>
      </c>
    </row>
    <row r="141" spans="1:35">
      <c r="A141" s="3" t="s">
        <v>16</v>
      </c>
      <c r="B141" s="3">
        <v>2016</v>
      </c>
      <c r="C141" s="3" t="s">
        <v>36</v>
      </c>
      <c r="D141" s="3">
        <v>130.2</v>
      </c>
      <c r="E141" s="3">
        <v>138.5</v>
      </c>
      <c r="F141" s="3">
        <v>134.1</v>
      </c>
      <c r="G141" s="3">
        <v>132.9</v>
      </c>
      <c r="H141" s="3">
        <v>112.6</v>
      </c>
      <c r="I141" s="3">
        <v>130.8</v>
      </c>
      <c r="J141" s="3">
        <v>142</v>
      </c>
      <c r="K141" s="3">
        <v>174.9</v>
      </c>
      <c r="L141" s="3">
        <v>115.6</v>
      </c>
      <c r="M141" s="3">
        <v>145.4</v>
      </c>
      <c r="N141" s="3">
        <v>122.7</v>
      </c>
      <c r="O141" s="3">
        <v>140.3</v>
      </c>
      <c r="P141" s="3">
        <v>135.2</v>
      </c>
      <c r="Q141" s="68">
        <f t="shared" si="10"/>
        <v>1755.2</v>
      </c>
      <c r="R141" s="3">
        <v>144.3</v>
      </c>
      <c r="S141" s="3">
        <v>129.6</v>
      </c>
      <c r="T141" s="3">
        <v>122.1</v>
      </c>
      <c r="U141" s="3">
        <v>128.5</v>
      </c>
      <c r="V141" s="69">
        <f t="shared" si="11"/>
        <v>380.2</v>
      </c>
      <c r="W141" s="3">
        <v>129.1</v>
      </c>
      <c r="X141" s="3">
        <v>124.7</v>
      </c>
      <c r="Y141" s="3">
        <v>116.2</v>
      </c>
      <c r="Z141" s="3">
        <f t="shared" si="12"/>
        <v>370</v>
      </c>
      <c r="AA141" s="3">
        <v>113.4</v>
      </c>
      <c r="AB141" s="3">
        <v>121.3</v>
      </c>
      <c r="AC141" s="3">
        <v>122.1</v>
      </c>
      <c r="AD141" s="68">
        <f t="shared" si="13"/>
        <v>243.4</v>
      </c>
      <c r="AE141" s="3">
        <v>132.1</v>
      </c>
      <c r="AF141" s="3">
        <v>121.7</v>
      </c>
      <c r="AG141" s="3">
        <v>121.3</v>
      </c>
      <c r="AH141" s="3">
        <v>128.5</v>
      </c>
      <c r="AI141" s="3">
        <f t="shared" si="14"/>
        <v>3510.1</v>
      </c>
    </row>
    <row r="142" spans="1:35">
      <c r="A142" s="3" t="s">
        <v>17</v>
      </c>
      <c r="B142" s="3">
        <v>2016</v>
      </c>
      <c r="C142" s="3" t="s">
        <v>36</v>
      </c>
      <c r="D142" s="3">
        <v>131.4</v>
      </c>
      <c r="E142" s="3">
        <v>137.8</v>
      </c>
      <c r="F142" s="3">
        <v>132</v>
      </c>
      <c r="G142" s="3">
        <v>135</v>
      </c>
      <c r="H142" s="3">
        <v>118</v>
      </c>
      <c r="I142" s="3">
        <v>134.1</v>
      </c>
      <c r="J142" s="3">
        <v>141.9</v>
      </c>
      <c r="K142" s="3">
        <v>171.7</v>
      </c>
      <c r="L142" s="3">
        <v>114.1</v>
      </c>
      <c r="M142" s="3">
        <v>139.7</v>
      </c>
      <c r="N142" s="3">
        <v>126.2</v>
      </c>
      <c r="O142" s="3">
        <v>141.8</v>
      </c>
      <c r="P142" s="3">
        <v>136.1</v>
      </c>
      <c r="Q142" s="68">
        <f t="shared" si="10"/>
        <v>1759.8</v>
      </c>
      <c r="R142" s="3">
        <v>142</v>
      </c>
      <c r="S142" s="3">
        <v>135.8</v>
      </c>
      <c r="T142" s="3">
        <v>129.3</v>
      </c>
      <c r="U142" s="3">
        <v>135</v>
      </c>
      <c r="V142" s="69">
        <f t="shared" si="11"/>
        <v>400.1</v>
      </c>
      <c r="W142" s="3">
        <v>129.1</v>
      </c>
      <c r="X142" s="3">
        <v>128.6</v>
      </c>
      <c r="Y142" s="3">
        <v>125</v>
      </c>
      <c r="Z142" s="3">
        <f t="shared" si="12"/>
        <v>382.7</v>
      </c>
      <c r="AA142" s="3">
        <v>115.7</v>
      </c>
      <c r="AB142" s="3">
        <v>122.6</v>
      </c>
      <c r="AC142" s="3">
        <v>126.4</v>
      </c>
      <c r="AD142" s="68">
        <f t="shared" si="13"/>
        <v>249</v>
      </c>
      <c r="AE142" s="3">
        <v>132.8</v>
      </c>
      <c r="AF142" s="3">
        <v>124</v>
      </c>
      <c r="AG142" s="3">
        <v>123.8</v>
      </c>
      <c r="AH142" s="3">
        <v>131.2</v>
      </c>
      <c r="AI142" s="3">
        <f t="shared" si="14"/>
        <v>3561.1</v>
      </c>
    </row>
    <row r="143" spans="1:35">
      <c r="A143" s="3" t="s">
        <v>14</v>
      </c>
      <c r="B143" s="3">
        <v>2016</v>
      </c>
      <c r="C143" s="3" t="s">
        <v>37</v>
      </c>
      <c r="D143" s="3">
        <v>132.6</v>
      </c>
      <c r="E143" s="3">
        <v>137.3</v>
      </c>
      <c r="F143" s="3">
        <v>131.6</v>
      </c>
      <c r="G143" s="3">
        <v>136.3</v>
      </c>
      <c r="H143" s="3">
        <v>121.6</v>
      </c>
      <c r="I143" s="3">
        <v>135.6</v>
      </c>
      <c r="J143" s="3">
        <v>127.5</v>
      </c>
      <c r="K143" s="3">
        <v>167.9</v>
      </c>
      <c r="L143" s="3">
        <v>113.8</v>
      </c>
      <c r="M143" s="3">
        <v>137.5</v>
      </c>
      <c r="N143" s="3">
        <v>129.1</v>
      </c>
      <c r="O143" s="3">
        <v>143.6</v>
      </c>
      <c r="P143" s="3">
        <v>134.7</v>
      </c>
      <c r="Q143" s="68">
        <f t="shared" si="10"/>
        <v>1749.1</v>
      </c>
      <c r="R143" s="3">
        <v>142.4</v>
      </c>
      <c r="S143" s="3">
        <v>140.4</v>
      </c>
      <c r="T143" s="3">
        <v>135.2</v>
      </c>
      <c r="U143" s="3">
        <v>139.7</v>
      </c>
      <c r="V143" s="69">
        <f t="shared" si="11"/>
        <v>415.3</v>
      </c>
      <c r="W143" s="75">
        <v>128.5</v>
      </c>
      <c r="X143" s="3">
        <v>132.9</v>
      </c>
      <c r="Y143" s="3">
        <v>132</v>
      </c>
      <c r="Z143" s="3">
        <f t="shared" si="12"/>
        <v>393.4</v>
      </c>
      <c r="AA143" s="3">
        <v>118.6</v>
      </c>
      <c r="AB143" s="3">
        <v>121.9</v>
      </c>
      <c r="AC143" s="3">
        <v>129.7</v>
      </c>
      <c r="AD143" s="68">
        <f t="shared" si="13"/>
        <v>251.6</v>
      </c>
      <c r="AE143" s="3">
        <v>134.2</v>
      </c>
      <c r="AF143" s="3">
        <v>127.3</v>
      </c>
      <c r="AG143" s="3">
        <v>126.3</v>
      </c>
      <c r="AH143" s="3">
        <v>132.8</v>
      </c>
      <c r="AI143" s="3">
        <f t="shared" si="14"/>
        <v>3591</v>
      </c>
    </row>
    <row r="144" spans="1:35">
      <c r="A144" s="3" t="s">
        <v>16</v>
      </c>
      <c r="B144" s="3">
        <v>2016</v>
      </c>
      <c r="C144" s="3" t="s">
        <v>37</v>
      </c>
      <c r="D144" s="3">
        <v>131.6</v>
      </c>
      <c r="E144" s="3">
        <v>138.2</v>
      </c>
      <c r="F144" s="3">
        <v>134.9</v>
      </c>
      <c r="G144" s="3">
        <v>133.1</v>
      </c>
      <c r="H144" s="3">
        <v>113.5</v>
      </c>
      <c r="I144" s="3">
        <v>129.3</v>
      </c>
      <c r="J144" s="3">
        <v>121.1</v>
      </c>
      <c r="K144" s="3">
        <v>170.3</v>
      </c>
      <c r="L144" s="3">
        <v>115.5</v>
      </c>
      <c r="M144" s="3">
        <v>145.5</v>
      </c>
      <c r="N144" s="3">
        <v>123.1</v>
      </c>
      <c r="O144" s="3">
        <v>140.9</v>
      </c>
      <c r="P144" s="3">
        <v>132.8</v>
      </c>
      <c r="Q144" s="68">
        <f t="shared" si="10"/>
        <v>1729.8</v>
      </c>
      <c r="R144" s="3">
        <v>145</v>
      </c>
      <c r="S144" s="3">
        <v>130</v>
      </c>
      <c r="T144" s="3">
        <v>122.2</v>
      </c>
      <c r="U144" s="3">
        <v>128.8</v>
      </c>
      <c r="V144" s="69">
        <f t="shared" si="11"/>
        <v>381</v>
      </c>
      <c r="W144" s="3">
        <v>128.5</v>
      </c>
      <c r="X144" s="3">
        <v>125</v>
      </c>
      <c r="Y144" s="3">
        <v>117.8</v>
      </c>
      <c r="Z144" s="3">
        <f t="shared" si="12"/>
        <v>371.3</v>
      </c>
      <c r="AA144" s="3">
        <v>113.7</v>
      </c>
      <c r="AB144" s="3">
        <v>119.9</v>
      </c>
      <c r="AC144" s="3">
        <v>122.3</v>
      </c>
      <c r="AD144" s="68">
        <f t="shared" si="13"/>
        <v>242.2</v>
      </c>
      <c r="AE144" s="3">
        <v>132.3</v>
      </c>
      <c r="AF144" s="3">
        <v>121.8</v>
      </c>
      <c r="AG144" s="3">
        <v>121.4</v>
      </c>
      <c r="AH144" s="3">
        <v>127.6</v>
      </c>
      <c r="AI144" s="3">
        <f t="shared" si="14"/>
        <v>3486.1</v>
      </c>
    </row>
    <row r="145" spans="1:35">
      <c r="A145" s="3" t="s">
        <v>17</v>
      </c>
      <c r="B145" s="3">
        <v>2016</v>
      </c>
      <c r="C145" s="3" t="s">
        <v>37</v>
      </c>
      <c r="D145" s="3">
        <v>132.3</v>
      </c>
      <c r="E145" s="3">
        <v>137.6</v>
      </c>
      <c r="F145" s="3">
        <v>132.9</v>
      </c>
      <c r="G145" s="3">
        <v>135.1</v>
      </c>
      <c r="H145" s="3">
        <v>118.6</v>
      </c>
      <c r="I145" s="3">
        <v>132.7</v>
      </c>
      <c r="J145" s="3">
        <v>125.3</v>
      </c>
      <c r="K145" s="3">
        <v>168.7</v>
      </c>
      <c r="L145" s="3">
        <v>114.4</v>
      </c>
      <c r="M145" s="3">
        <v>140.2</v>
      </c>
      <c r="N145" s="3">
        <v>126.6</v>
      </c>
      <c r="O145" s="3">
        <v>142.3</v>
      </c>
      <c r="P145" s="3">
        <v>134</v>
      </c>
      <c r="Q145" s="68">
        <f t="shared" si="10"/>
        <v>1740.7</v>
      </c>
      <c r="R145" s="3">
        <v>143.1</v>
      </c>
      <c r="S145" s="3">
        <v>136.3</v>
      </c>
      <c r="T145" s="3">
        <v>129.8</v>
      </c>
      <c r="U145" s="3">
        <v>135.4</v>
      </c>
      <c r="V145" s="69">
        <f t="shared" si="11"/>
        <v>401.5</v>
      </c>
      <c r="W145" s="3">
        <v>128.5</v>
      </c>
      <c r="X145" s="3">
        <v>129.2</v>
      </c>
      <c r="Y145" s="3">
        <v>126.6</v>
      </c>
      <c r="Z145" s="3">
        <f t="shared" si="12"/>
        <v>384.3</v>
      </c>
      <c r="AA145" s="3">
        <v>116</v>
      </c>
      <c r="AB145" s="3">
        <v>121.1</v>
      </c>
      <c r="AC145" s="3">
        <v>126.9</v>
      </c>
      <c r="AD145" s="68">
        <f t="shared" si="13"/>
        <v>248</v>
      </c>
      <c r="AE145" s="3">
        <v>133.1</v>
      </c>
      <c r="AF145" s="3">
        <v>124.2</v>
      </c>
      <c r="AG145" s="3">
        <v>123.9</v>
      </c>
      <c r="AH145" s="3">
        <v>130.4</v>
      </c>
      <c r="AI145" s="3">
        <f t="shared" si="14"/>
        <v>3545.2</v>
      </c>
    </row>
    <row r="146" spans="1:35">
      <c r="A146" s="3" t="s">
        <v>14</v>
      </c>
      <c r="B146" s="3">
        <v>2017</v>
      </c>
      <c r="C146" s="3" t="s">
        <v>19</v>
      </c>
      <c r="D146" s="3">
        <v>133.1</v>
      </c>
      <c r="E146" s="3">
        <v>137.8</v>
      </c>
      <c r="F146" s="3">
        <v>131.9</v>
      </c>
      <c r="G146" s="3">
        <v>136.7</v>
      </c>
      <c r="H146" s="3">
        <v>122</v>
      </c>
      <c r="I146" s="3">
        <v>136</v>
      </c>
      <c r="J146" s="3">
        <v>119.8</v>
      </c>
      <c r="K146" s="3">
        <v>161.7</v>
      </c>
      <c r="L146" s="3">
        <v>114.8</v>
      </c>
      <c r="M146" s="3">
        <v>136.9</v>
      </c>
      <c r="N146" s="3">
        <v>129</v>
      </c>
      <c r="O146" s="3">
        <v>143.9</v>
      </c>
      <c r="P146" s="3">
        <v>133.7</v>
      </c>
      <c r="Q146" s="68">
        <f t="shared" si="10"/>
        <v>1737.3</v>
      </c>
      <c r="R146" s="3">
        <v>143.1</v>
      </c>
      <c r="S146" s="3">
        <v>140.7</v>
      </c>
      <c r="T146" s="3">
        <v>135.8</v>
      </c>
      <c r="U146" s="3">
        <v>140</v>
      </c>
      <c r="V146" s="69">
        <f t="shared" si="11"/>
        <v>416.5</v>
      </c>
      <c r="W146" s="75">
        <v>129.6</v>
      </c>
      <c r="X146" s="3">
        <v>133.2</v>
      </c>
      <c r="Y146" s="3">
        <v>132.1</v>
      </c>
      <c r="Z146" s="3">
        <f t="shared" si="12"/>
        <v>394.9</v>
      </c>
      <c r="AA146" s="3">
        <v>119.1</v>
      </c>
      <c r="AB146" s="3">
        <v>122.3</v>
      </c>
      <c r="AC146" s="3">
        <v>129.9</v>
      </c>
      <c r="AD146" s="68">
        <f t="shared" si="13"/>
        <v>252.2</v>
      </c>
      <c r="AE146" s="3">
        <v>134.6</v>
      </c>
      <c r="AF146" s="3">
        <v>127</v>
      </c>
      <c r="AG146" s="3">
        <v>126.6</v>
      </c>
      <c r="AH146" s="3">
        <v>132.4</v>
      </c>
      <c r="AI146" s="3">
        <f t="shared" si="14"/>
        <v>3583.7</v>
      </c>
    </row>
    <row r="147" spans="1:35">
      <c r="A147" s="3" t="s">
        <v>16</v>
      </c>
      <c r="B147" s="3">
        <v>2017</v>
      </c>
      <c r="C147" s="3" t="s">
        <v>19</v>
      </c>
      <c r="D147" s="3">
        <v>132.2</v>
      </c>
      <c r="E147" s="3">
        <v>138.9</v>
      </c>
      <c r="F147" s="3">
        <v>132.6</v>
      </c>
      <c r="G147" s="3">
        <v>133.1</v>
      </c>
      <c r="H147" s="3">
        <v>114</v>
      </c>
      <c r="I147" s="3">
        <v>129.6</v>
      </c>
      <c r="J147" s="3">
        <v>118.7</v>
      </c>
      <c r="K147" s="3">
        <v>155.1</v>
      </c>
      <c r="L147" s="3">
        <v>117.3</v>
      </c>
      <c r="M147" s="3">
        <v>144.9</v>
      </c>
      <c r="N147" s="3">
        <v>123.2</v>
      </c>
      <c r="O147" s="3">
        <v>141.6</v>
      </c>
      <c r="P147" s="3">
        <v>132</v>
      </c>
      <c r="Q147" s="68">
        <f t="shared" si="10"/>
        <v>1713.2</v>
      </c>
      <c r="R147" s="3">
        <v>145.6</v>
      </c>
      <c r="S147" s="3">
        <v>130.2</v>
      </c>
      <c r="T147" s="3">
        <v>122.3</v>
      </c>
      <c r="U147" s="3">
        <v>129</v>
      </c>
      <c r="V147" s="69">
        <f t="shared" si="11"/>
        <v>381.5</v>
      </c>
      <c r="W147" s="3">
        <v>129.6</v>
      </c>
      <c r="X147" s="3">
        <v>125.1</v>
      </c>
      <c r="Y147" s="3">
        <v>118</v>
      </c>
      <c r="Z147" s="3">
        <f t="shared" si="12"/>
        <v>372.7</v>
      </c>
      <c r="AA147" s="3">
        <v>115.2</v>
      </c>
      <c r="AB147" s="3">
        <v>120.9</v>
      </c>
      <c r="AC147" s="3">
        <v>122.6</v>
      </c>
      <c r="AD147" s="68">
        <f t="shared" si="13"/>
        <v>243.5</v>
      </c>
      <c r="AE147" s="3">
        <v>132.4</v>
      </c>
      <c r="AF147" s="3">
        <v>122</v>
      </c>
      <c r="AG147" s="3">
        <v>122.1</v>
      </c>
      <c r="AH147" s="3">
        <v>127.8</v>
      </c>
      <c r="AI147" s="3">
        <f t="shared" si="14"/>
        <v>3476</v>
      </c>
    </row>
    <row r="148" spans="1:35">
      <c r="A148" s="3" t="s">
        <v>17</v>
      </c>
      <c r="B148" s="3">
        <v>2017</v>
      </c>
      <c r="C148" s="3" t="s">
        <v>19</v>
      </c>
      <c r="D148" s="3">
        <v>132.8</v>
      </c>
      <c r="E148" s="3">
        <v>138.2</v>
      </c>
      <c r="F148" s="3">
        <v>132.2</v>
      </c>
      <c r="G148" s="3">
        <v>135.4</v>
      </c>
      <c r="H148" s="3">
        <v>119.1</v>
      </c>
      <c r="I148" s="3">
        <v>133</v>
      </c>
      <c r="J148" s="3">
        <v>119.4</v>
      </c>
      <c r="K148" s="3">
        <v>159.5</v>
      </c>
      <c r="L148" s="3">
        <v>115.6</v>
      </c>
      <c r="M148" s="3">
        <v>139.6</v>
      </c>
      <c r="N148" s="3">
        <v>126.6</v>
      </c>
      <c r="O148" s="3">
        <v>142.8</v>
      </c>
      <c r="P148" s="3">
        <v>133.1</v>
      </c>
      <c r="Q148" s="68">
        <f t="shared" si="10"/>
        <v>1727.3</v>
      </c>
      <c r="R148" s="3">
        <v>143.8</v>
      </c>
      <c r="S148" s="3">
        <v>136.6</v>
      </c>
      <c r="T148" s="3">
        <v>130.2</v>
      </c>
      <c r="U148" s="3">
        <v>135.6</v>
      </c>
      <c r="V148" s="69">
        <f t="shared" si="11"/>
        <v>402.4</v>
      </c>
      <c r="W148" s="3">
        <v>129.6</v>
      </c>
      <c r="X148" s="3">
        <v>129.4</v>
      </c>
      <c r="Y148" s="3">
        <v>126.8</v>
      </c>
      <c r="Z148" s="3">
        <f t="shared" si="12"/>
        <v>385.8</v>
      </c>
      <c r="AA148" s="3">
        <v>117</v>
      </c>
      <c r="AB148" s="3">
        <v>121.7</v>
      </c>
      <c r="AC148" s="3">
        <v>127.1</v>
      </c>
      <c r="AD148" s="68">
        <f t="shared" si="13"/>
        <v>248.8</v>
      </c>
      <c r="AE148" s="3">
        <v>133.3</v>
      </c>
      <c r="AF148" s="3">
        <v>124.2</v>
      </c>
      <c r="AG148" s="3">
        <v>124.4</v>
      </c>
      <c r="AH148" s="3">
        <v>130.3</v>
      </c>
      <c r="AI148" s="3">
        <f t="shared" si="14"/>
        <v>3537.3</v>
      </c>
    </row>
    <row r="149" spans="1:35">
      <c r="A149" s="3" t="s">
        <v>14</v>
      </c>
      <c r="B149" s="3">
        <v>2017</v>
      </c>
      <c r="C149" s="3" t="s">
        <v>20</v>
      </c>
      <c r="D149" s="3">
        <v>133.3</v>
      </c>
      <c r="E149" s="3">
        <v>138.3</v>
      </c>
      <c r="F149" s="3">
        <v>129.3</v>
      </c>
      <c r="G149" s="3">
        <v>137.2</v>
      </c>
      <c r="H149" s="3">
        <v>122.1</v>
      </c>
      <c r="I149" s="3">
        <v>138.7</v>
      </c>
      <c r="J149" s="3">
        <v>119.1</v>
      </c>
      <c r="K149" s="3">
        <v>156.9</v>
      </c>
      <c r="L149" s="3">
        <v>116.2</v>
      </c>
      <c r="M149" s="3">
        <v>136</v>
      </c>
      <c r="N149" s="3">
        <v>129.4</v>
      </c>
      <c r="O149" s="3">
        <v>144.4</v>
      </c>
      <c r="P149" s="3">
        <v>133.6</v>
      </c>
      <c r="Q149" s="68">
        <f t="shared" si="10"/>
        <v>1734.5</v>
      </c>
      <c r="R149" s="3">
        <v>143.7</v>
      </c>
      <c r="S149" s="3">
        <v>140.9</v>
      </c>
      <c r="T149" s="3">
        <v>135.8</v>
      </c>
      <c r="U149" s="3">
        <v>140.2</v>
      </c>
      <c r="V149" s="69">
        <f t="shared" si="11"/>
        <v>416.9</v>
      </c>
      <c r="W149" s="75">
        <v>130.5</v>
      </c>
      <c r="X149" s="3">
        <v>133.6</v>
      </c>
      <c r="Y149" s="3">
        <v>133.2</v>
      </c>
      <c r="Z149" s="3">
        <f t="shared" si="12"/>
        <v>397.3</v>
      </c>
      <c r="AA149" s="3">
        <v>119.5</v>
      </c>
      <c r="AB149" s="3">
        <v>123.2</v>
      </c>
      <c r="AC149" s="3">
        <v>130.1</v>
      </c>
      <c r="AD149" s="68">
        <f t="shared" si="13"/>
        <v>253.3</v>
      </c>
      <c r="AE149" s="3">
        <v>134.9</v>
      </c>
      <c r="AF149" s="3">
        <v>127.7</v>
      </c>
      <c r="AG149" s="3">
        <v>127</v>
      </c>
      <c r="AH149" s="3">
        <v>132.6</v>
      </c>
      <c r="AI149" s="3">
        <f t="shared" si="14"/>
        <v>3587.4</v>
      </c>
    </row>
    <row r="150" spans="1:35">
      <c r="A150" s="3" t="s">
        <v>16</v>
      </c>
      <c r="B150" s="3">
        <v>2017</v>
      </c>
      <c r="C150" s="3" t="s">
        <v>20</v>
      </c>
      <c r="D150" s="3">
        <v>132.8</v>
      </c>
      <c r="E150" s="3">
        <v>139.8</v>
      </c>
      <c r="F150" s="3">
        <v>129.3</v>
      </c>
      <c r="G150" s="3">
        <v>133.5</v>
      </c>
      <c r="H150" s="3">
        <v>114.3</v>
      </c>
      <c r="I150" s="3">
        <v>131.4</v>
      </c>
      <c r="J150" s="3">
        <v>120.2</v>
      </c>
      <c r="K150" s="3">
        <v>143.1</v>
      </c>
      <c r="L150" s="3">
        <v>119.5</v>
      </c>
      <c r="M150" s="3">
        <v>144</v>
      </c>
      <c r="N150" s="3">
        <v>123.4</v>
      </c>
      <c r="O150" s="3">
        <v>141.9</v>
      </c>
      <c r="P150" s="3">
        <v>132.1</v>
      </c>
      <c r="Q150" s="68">
        <f t="shared" si="10"/>
        <v>1705.3</v>
      </c>
      <c r="R150" s="3">
        <v>146.3</v>
      </c>
      <c r="S150" s="3">
        <v>130.5</v>
      </c>
      <c r="T150" s="3">
        <v>122.5</v>
      </c>
      <c r="U150" s="3">
        <v>129.3</v>
      </c>
      <c r="V150" s="69">
        <f t="shared" si="11"/>
        <v>382.3</v>
      </c>
      <c r="W150" s="3">
        <v>130.5</v>
      </c>
      <c r="X150" s="3">
        <v>125.3</v>
      </c>
      <c r="Y150" s="3">
        <v>119.2</v>
      </c>
      <c r="Z150" s="3">
        <f t="shared" si="12"/>
        <v>375</v>
      </c>
      <c r="AA150" s="3">
        <v>115.5</v>
      </c>
      <c r="AB150" s="3">
        <v>121.7</v>
      </c>
      <c r="AC150" s="3">
        <v>122.9</v>
      </c>
      <c r="AD150" s="68">
        <f t="shared" si="13"/>
        <v>244.6</v>
      </c>
      <c r="AE150" s="3">
        <v>132.4</v>
      </c>
      <c r="AF150" s="3">
        <v>122.2</v>
      </c>
      <c r="AG150" s="3">
        <v>122.4</v>
      </c>
      <c r="AH150" s="3">
        <v>128.2</v>
      </c>
      <c r="AI150" s="3">
        <f t="shared" si="14"/>
        <v>3474.2</v>
      </c>
    </row>
    <row r="151" spans="1:35">
      <c r="A151" s="3" t="s">
        <v>17</v>
      </c>
      <c r="B151" s="3">
        <v>2017</v>
      </c>
      <c r="C151" s="3" t="s">
        <v>20</v>
      </c>
      <c r="D151" s="3">
        <v>133.1</v>
      </c>
      <c r="E151" s="3">
        <v>138.8</v>
      </c>
      <c r="F151" s="3">
        <v>129.3</v>
      </c>
      <c r="G151" s="3">
        <v>135.8</v>
      </c>
      <c r="H151" s="3">
        <v>119.2</v>
      </c>
      <c r="I151" s="3">
        <v>135.3</v>
      </c>
      <c r="J151" s="3">
        <v>119.5</v>
      </c>
      <c r="K151" s="3">
        <v>152.2</v>
      </c>
      <c r="L151" s="3">
        <v>117.3</v>
      </c>
      <c r="M151" s="3">
        <v>138.7</v>
      </c>
      <c r="N151" s="3">
        <v>126.9</v>
      </c>
      <c r="O151" s="3">
        <v>143.2</v>
      </c>
      <c r="P151" s="3">
        <v>133</v>
      </c>
      <c r="Q151" s="68">
        <f t="shared" si="10"/>
        <v>1722.3</v>
      </c>
      <c r="R151" s="3">
        <v>144.4</v>
      </c>
      <c r="S151" s="3">
        <v>136.8</v>
      </c>
      <c r="T151" s="3">
        <v>130.3</v>
      </c>
      <c r="U151" s="3">
        <v>135.9</v>
      </c>
      <c r="V151" s="69">
        <f t="shared" si="11"/>
        <v>403</v>
      </c>
      <c r="W151" s="3">
        <v>130.5</v>
      </c>
      <c r="X151" s="3">
        <v>129.7</v>
      </c>
      <c r="Y151" s="3">
        <v>127.9</v>
      </c>
      <c r="Z151" s="3">
        <f t="shared" si="12"/>
        <v>388.1</v>
      </c>
      <c r="AA151" s="3">
        <v>117.4</v>
      </c>
      <c r="AB151" s="3">
        <v>122.6</v>
      </c>
      <c r="AC151" s="3">
        <v>127.4</v>
      </c>
      <c r="AD151" s="68">
        <f t="shared" si="13"/>
        <v>250</v>
      </c>
      <c r="AE151" s="3">
        <v>133.4</v>
      </c>
      <c r="AF151" s="3">
        <v>124.6</v>
      </c>
      <c r="AG151" s="3">
        <v>124.8</v>
      </c>
      <c r="AH151" s="3">
        <v>130.6</v>
      </c>
      <c r="AI151" s="3">
        <f t="shared" si="14"/>
        <v>3538.6</v>
      </c>
    </row>
    <row r="152" spans="1:35">
      <c r="A152" s="3" t="s">
        <v>14</v>
      </c>
      <c r="B152" s="3">
        <v>2017</v>
      </c>
      <c r="C152" s="3" t="s">
        <v>26</v>
      </c>
      <c r="D152" s="3">
        <v>133.6</v>
      </c>
      <c r="E152" s="3">
        <v>138.8</v>
      </c>
      <c r="F152" s="3">
        <v>128.8</v>
      </c>
      <c r="G152" s="3">
        <v>137.2</v>
      </c>
      <c r="H152" s="3">
        <v>121.6</v>
      </c>
      <c r="I152" s="3">
        <v>139.7</v>
      </c>
      <c r="J152" s="3">
        <v>119.7</v>
      </c>
      <c r="K152" s="3">
        <v>148</v>
      </c>
      <c r="L152" s="3">
        <v>116.9</v>
      </c>
      <c r="M152" s="3">
        <v>135.6</v>
      </c>
      <c r="N152" s="3">
        <v>129.8</v>
      </c>
      <c r="O152" s="3">
        <v>145.4</v>
      </c>
      <c r="P152" s="3">
        <v>133.4</v>
      </c>
      <c r="Q152" s="68">
        <f t="shared" si="10"/>
        <v>1728.5</v>
      </c>
      <c r="R152" s="3">
        <v>144.2</v>
      </c>
      <c r="S152" s="3">
        <v>141.6</v>
      </c>
      <c r="T152" s="3">
        <v>136.2</v>
      </c>
      <c r="U152" s="3">
        <v>140.8</v>
      </c>
      <c r="V152" s="69">
        <f t="shared" si="11"/>
        <v>418.6</v>
      </c>
      <c r="W152" s="75">
        <v>131.1</v>
      </c>
      <c r="X152" s="3">
        <v>134.1</v>
      </c>
      <c r="Y152" s="3">
        <v>134.2</v>
      </c>
      <c r="Z152" s="3">
        <f t="shared" si="12"/>
        <v>399.4</v>
      </c>
      <c r="AA152" s="3">
        <v>119.8</v>
      </c>
      <c r="AB152" s="3">
        <v>123.3</v>
      </c>
      <c r="AC152" s="3">
        <v>130.6</v>
      </c>
      <c r="AD152" s="68">
        <f t="shared" si="13"/>
        <v>253.9</v>
      </c>
      <c r="AE152" s="3">
        <v>135.2</v>
      </c>
      <c r="AF152" s="3">
        <v>128.3</v>
      </c>
      <c r="AG152" s="3">
        <v>127.4</v>
      </c>
      <c r="AH152" s="3">
        <v>132.8</v>
      </c>
      <c r="AI152" s="3">
        <f t="shared" si="14"/>
        <v>3588.1</v>
      </c>
    </row>
    <row r="153" spans="1:35">
      <c r="A153" s="3" t="s">
        <v>16</v>
      </c>
      <c r="B153" s="3">
        <v>2017</v>
      </c>
      <c r="C153" s="3" t="s">
        <v>26</v>
      </c>
      <c r="D153" s="3">
        <v>132.7</v>
      </c>
      <c r="E153" s="3">
        <v>139.4</v>
      </c>
      <c r="F153" s="3">
        <v>128.4</v>
      </c>
      <c r="G153" s="3">
        <v>134.9</v>
      </c>
      <c r="H153" s="3">
        <v>114</v>
      </c>
      <c r="I153" s="3">
        <v>136.8</v>
      </c>
      <c r="J153" s="3">
        <v>122.2</v>
      </c>
      <c r="K153" s="3">
        <v>135.8</v>
      </c>
      <c r="L153" s="3">
        <v>120.3</v>
      </c>
      <c r="M153" s="3">
        <v>142.6</v>
      </c>
      <c r="N153" s="3">
        <v>123.6</v>
      </c>
      <c r="O153" s="3">
        <v>142.4</v>
      </c>
      <c r="P153" s="3">
        <v>132.6</v>
      </c>
      <c r="Q153" s="68">
        <f t="shared" si="10"/>
        <v>1705.7</v>
      </c>
      <c r="R153" s="3">
        <v>147.5</v>
      </c>
      <c r="S153" s="3">
        <v>130.8</v>
      </c>
      <c r="T153" s="3">
        <v>122.8</v>
      </c>
      <c r="U153" s="3">
        <v>129.6</v>
      </c>
      <c r="V153" s="69">
        <f t="shared" si="11"/>
        <v>383.2</v>
      </c>
      <c r="W153" s="3">
        <v>131.1</v>
      </c>
      <c r="X153" s="3">
        <v>125.6</v>
      </c>
      <c r="Y153" s="3">
        <v>120.8</v>
      </c>
      <c r="Z153" s="3">
        <f t="shared" si="12"/>
        <v>377.5</v>
      </c>
      <c r="AA153" s="3">
        <v>115.6</v>
      </c>
      <c r="AB153" s="3">
        <v>121.7</v>
      </c>
      <c r="AC153" s="3">
        <v>123.1</v>
      </c>
      <c r="AD153" s="68">
        <f t="shared" si="13"/>
        <v>244.8</v>
      </c>
      <c r="AE153" s="3">
        <v>132.8</v>
      </c>
      <c r="AF153" s="3">
        <v>122.4</v>
      </c>
      <c r="AG153" s="3">
        <v>122.6</v>
      </c>
      <c r="AH153" s="3">
        <v>128.7</v>
      </c>
      <c r="AI153" s="3">
        <f t="shared" si="14"/>
        <v>3480.8</v>
      </c>
    </row>
    <row r="154" spans="1:35">
      <c r="A154" s="3" t="s">
        <v>17</v>
      </c>
      <c r="B154" s="3">
        <v>2017</v>
      </c>
      <c r="C154" s="3" t="s">
        <v>26</v>
      </c>
      <c r="D154" s="3">
        <v>133.3</v>
      </c>
      <c r="E154" s="3">
        <v>139</v>
      </c>
      <c r="F154" s="3">
        <v>128.6</v>
      </c>
      <c r="G154" s="3">
        <v>136.3</v>
      </c>
      <c r="H154" s="3">
        <v>118.8</v>
      </c>
      <c r="I154" s="3">
        <v>138.3</v>
      </c>
      <c r="J154" s="3">
        <v>120.5</v>
      </c>
      <c r="K154" s="3">
        <v>143.9</v>
      </c>
      <c r="L154" s="3">
        <v>118</v>
      </c>
      <c r="M154" s="3">
        <v>137.9</v>
      </c>
      <c r="N154" s="3">
        <v>127.2</v>
      </c>
      <c r="O154" s="3">
        <v>144</v>
      </c>
      <c r="P154" s="3">
        <v>133.1</v>
      </c>
      <c r="Q154" s="68">
        <f t="shared" si="10"/>
        <v>1718.9</v>
      </c>
      <c r="R154" s="3">
        <v>145.1</v>
      </c>
      <c r="S154" s="3">
        <v>137.3</v>
      </c>
      <c r="T154" s="3">
        <v>130.6</v>
      </c>
      <c r="U154" s="3">
        <v>136.4</v>
      </c>
      <c r="V154" s="69">
        <f t="shared" si="11"/>
        <v>404.3</v>
      </c>
      <c r="W154" s="3">
        <v>131.1</v>
      </c>
      <c r="X154" s="3">
        <v>130.1</v>
      </c>
      <c r="Y154" s="3">
        <v>129.1</v>
      </c>
      <c r="Z154" s="3">
        <f t="shared" si="12"/>
        <v>390.3</v>
      </c>
      <c r="AA154" s="3">
        <v>117.6</v>
      </c>
      <c r="AB154" s="3">
        <v>122.6</v>
      </c>
      <c r="AC154" s="3">
        <v>127.8</v>
      </c>
      <c r="AD154" s="68">
        <f t="shared" si="13"/>
        <v>250.4</v>
      </c>
      <c r="AE154" s="3">
        <v>133.8</v>
      </c>
      <c r="AF154" s="3">
        <v>125</v>
      </c>
      <c r="AG154" s="3">
        <v>125.1</v>
      </c>
      <c r="AH154" s="3">
        <v>130.9</v>
      </c>
      <c r="AI154" s="3">
        <f t="shared" si="14"/>
        <v>3541.4</v>
      </c>
    </row>
    <row r="155" spans="1:35">
      <c r="A155" s="3" t="s">
        <v>14</v>
      </c>
      <c r="B155" s="3">
        <v>2017</v>
      </c>
      <c r="C155" s="3" t="s">
        <v>29</v>
      </c>
      <c r="D155" s="3">
        <v>133.2</v>
      </c>
      <c r="E155" s="3">
        <v>138.7</v>
      </c>
      <c r="F155" s="3">
        <v>127.1</v>
      </c>
      <c r="G155" s="3">
        <v>137.7</v>
      </c>
      <c r="H155" s="3">
        <v>121.3</v>
      </c>
      <c r="I155" s="3">
        <v>141.8</v>
      </c>
      <c r="J155" s="3">
        <v>121.5</v>
      </c>
      <c r="K155" s="3">
        <v>144.5</v>
      </c>
      <c r="L155" s="3">
        <v>117.4</v>
      </c>
      <c r="M155" s="3">
        <v>134.1</v>
      </c>
      <c r="N155" s="3">
        <v>130</v>
      </c>
      <c r="O155" s="3">
        <v>145.5</v>
      </c>
      <c r="P155" s="3">
        <v>133.5</v>
      </c>
      <c r="Q155" s="68">
        <f t="shared" si="10"/>
        <v>1726.3</v>
      </c>
      <c r="R155" s="3">
        <v>144.4</v>
      </c>
      <c r="S155" s="3">
        <v>142.4</v>
      </c>
      <c r="T155" s="3">
        <v>136.8</v>
      </c>
      <c r="U155" s="3">
        <v>141.6</v>
      </c>
      <c r="V155" s="69">
        <f t="shared" si="11"/>
        <v>420.8</v>
      </c>
      <c r="W155" s="75">
        <v>131.7</v>
      </c>
      <c r="X155" s="3">
        <v>134.3</v>
      </c>
      <c r="Y155" s="3">
        <v>135</v>
      </c>
      <c r="Z155" s="3">
        <f t="shared" si="12"/>
        <v>401</v>
      </c>
      <c r="AA155" s="3">
        <v>119.2</v>
      </c>
      <c r="AB155" s="3">
        <v>123.7</v>
      </c>
      <c r="AC155" s="3">
        <v>131</v>
      </c>
      <c r="AD155" s="68">
        <f t="shared" si="13"/>
        <v>254.7</v>
      </c>
      <c r="AE155" s="3">
        <v>135.7</v>
      </c>
      <c r="AF155" s="3">
        <v>128.3</v>
      </c>
      <c r="AG155" s="3">
        <v>127.5</v>
      </c>
      <c r="AH155" s="3">
        <v>132.9</v>
      </c>
      <c r="AI155" s="3">
        <f t="shared" si="14"/>
        <v>3590.8</v>
      </c>
    </row>
    <row r="156" spans="1:35">
      <c r="A156" s="3" t="s">
        <v>16</v>
      </c>
      <c r="B156" s="3">
        <v>2017</v>
      </c>
      <c r="C156" s="3" t="s">
        <v>29</v>
      </c>
      <c r="D156" s="3">
        <v>132.7</v>
      </c>
      <c r="E156" s="3">
        <v>140.6</v>
      </c>
      <c r="F156" s="3">
        <v>124.5</v>
      </c>
      <c r="G156" s="3">
        <v>136.3</v>
      </c>
      <c r="H156" s="3">
        <v>113.5</v>
      </c>
      <c r="I156" s="3">
        <v>137.7</v>
      </c>
      <c r="J156" s="3">
        <v>127.1</v>
      </c>
      <c r="K156" s="3">
        <v>133.8</v>
      </c>
      <c r="L156" s="3">
        <v>120.8</v>
      </c>
      <c r="M156" s="3">
        <v>141.3</v>
      </c>
      <c r="N156" s="3">
        <v>123.8</v>
      </c>
      <c r="O156" s="3">
        <v>142.6</v>
      </c>
      <c r="P156" s="3">
        <v>133.4</v>
      </c>
      <c r="Q156" s="68">
        <f t="shared" si="10"/>
        <v>1708.1</v>
      </c>
      <c r="R156" s="3">
        <v>148</v>
      </c>
      <c r="S156" s="3">
        <v>131.2</v>
      </c>
      <c r="T156" s="3">
        <v>123</v>
      </c>
      <c r="U156" s="3">
        <v>130</v>
      </c>
      <c r="V156" s="69">
        <f t="shared" si="11"/>
        <v>384.2</v>
      </c>
      <c r="W156" s="3">
        <v>131.7</v>
      </c>
      <c r="X156" s="3">
        <v>126</v>
      </c>
      <c r="Y156" s="3">
        <v>121.4</v>
      </c>
      <c r="Z156" s="3">
        <f t="shared" si="12"/>
        <v>379.1</v>
      </c>
      <c r="AA156" s="3">
        <v>114.3</v>
      </c>
      <c r="AB156" s="3">
        <v>122.2</v>
      </c>
      <c r="AC156" s="3">
        <v>123.4</v>
      </c>
      <c r="AD156" s="68">
        <f t="shared" si="13"/>
        <v>245.6</v>
      </c>
      <c r="AE156" s="3">
        <v>133.6</v>
      </c>
      <c r="AF156" s="3">
        <v>122.6</v>
      </c>
      <c r="AG156" s="3">
        <v>122.5</v>
      </c>
      <c r="AH156" s="3">
        <v>129.1</v>
      </c>
      <c r="AI156" s="3">
        <f t="shared" si="14"/>
        <v>3487.1</v>
      </c>
    </row>
    <row r="157" spans="1:35">
      <c r="A157" s="3" t="s">
        <v>17</v>
      </c>
      <c r="B157" s="3">
        <v>2017</v>
      </c>
      <c r="C157" s="3" t="s">
        <v>29</v>
      </c>
      <c r="D157" s="3">
        <v>133</v>
      </c>
      <c r="E157" s="3">
        <v>139.4</v>
      </c>
      <c r="F157" s="3">
        <v>126.1</v>
      </c>
      <c r="G157" s="3">
        <v>137.2</v>
      </c>
      <c r="H157" s="3">
        <v>118.4</v>
      </c>
      <c r="I157" s="3">
        <v>139.9</v>
      </c>
      <c r="J157" s="3">
        <v>123.4</v>
      </c>
      <c r="K157" s="3">
        <v>140.9</v>
      </c>
      <c r="L157" s="3">
        <v>118.5</v>
      </c>
      <c r="M157" s="3">
        <v>136.5</v>
      </c>
      <c r="N157" s="3">
        <v>127.4</v>
      </c>
      <c r="O157" s="3">
        <v>144.2</v>
      </c>
      <c r="P157" s="3">
        <v>133.5</v>
      </c>
      <c r="Q157" s="68">
        <f t="shared" si="10"/>
        <v>1718.4</v>
      </c>
      <c r="R157" s="3">
        <v>145.4</v>
      </c>
      <c r="S157" s="3">
        <v>138</v>
      </c>
      <c r="T157" s="3">
        <v>131.1</v>
      </c>
      <c r="U157" s="3">
        <v>137</v>
      </c>
      <c r="V157" s="69">
        <f t="shared" si="11"/>
        <v>406.1</v>
      </c>
      <c r="W157" s="3">
        <v>131.7</v>
      </c>
      <c r="X157" s="3">
        <v>130.4</v>
      </c>
      <c r="Y157" s="3">
        <v>129.8</v>
      </c>
      <c r="Z157" s="3">
        <f t="shared" si="12"/>
        <v>391.9</v>
      </c>
      <c r="AA157" s="3">
        <v>116.6</v>
      </c>
      <c r="AB157" s="3">
        <v>123.1</v>
      </c>
      <c r="AC157" s="3">
        <v>128.1</v>
      </c>
      <c r="AD157" s="68">
        <f t="shared" si="13"/>
        <v>251.2</v>
      </c>
      <c r="AE157" s="3">
        <v>134.5</v>
      </c>
      <c r="AF157" s="3">
        <v>125.1</v>
      </c>
      <c r="AG157" s="3">
        <v>125.1</v>
      </c>
      <c r="AH157" s="3">
        <v>131.1</v>
      </c>
      <c r="AI157" s="3">
        <f t="shared" si="14"/>
        <v>3545.4</v>
      </c>
    </row>
    <row r="158" spans="1:35">
      <c r="A158" s="3" t="s">
        <v>14</v>
      </c>
      <c r="B158" s="3">
        <v>2017</v>
      </c>
      <c r="C158" s="3" t="s">
        <v>15</v>
      </c>
      <c r="D158" s="3">
        <v>133.1</v>
      </c>
      <c r="E158" s="3">
        <v>140.3</v>
      </c>
      <c r="F158" s="3">
        <v>126.8</v>
      </c>
      <c r="G158" s="3">
        <v>138.2</v>
      </c>
      <c r="H158" s="3">
        <v>120.8</v>
      </c>
      <c r="I158" s="3">
        <v>140.2</v>
      </c>
      <c r="J158" s="3">
        <v>123.8</v>
      </c>
      <c r="K158" s="3">
        <v>141.8</v>
      </c>
      <c r="L158" s="3">
        <v>118.6</v>
      </c>
      <c r="M158" s="3">
        <v>134</v>
      </c>
      <c r="N158" s="3">
        <v>130.3</v>
      </c>
      <c r="O158" s="3">
        <v>145.8</v>
      </c>
      <c r="P158" s="3">
        <v>133.8</v>
      </c>
      <c r="Q158" s="68">
        <f t="shared" si="10"/>
        <v>1727.5</v>
      </c>
      <c r="R158" s="3">
        <v>145.5</v>
      </c>
      <c r="S158" s="3">
        <v>142.5</v>
      </c>
      <c r="T158" s="3">
        <v>137.3</v>
      </c>
      <c r="U158" s="3">
        <v>141.8</v>
      </c>
      <c r="V158" s="69">
        <f t="shared" si="11"/>
        <v>421.6</v>
      </c>
      <c r="W158" s="75">
        <v>132.1</v>
      </c>
      <c r="X158" s="3">
        <v>134.9</v>
      </c>
      <c r="Y158" s="3">
        <v>135</v>
      </c>
      <c r="Z158" s="3">
        <f t="shared" si="12"/>
        <v>402</v>
      </c>
      <c r="AA158" s="3">
        <v>119.4</v>
      </c>
      <c r="AB158" s="3">
        <v>123.7</v>
      </c>
      <c r="AC158" s="3">
        <v>131.4</v>
      </c>
      <c r="AD158" s="68">
        <f t="shared" si="13"/>
        <v>255.1</v>
      </c>
      <c r="AE158" s="3">
        <v>136.3</v>
      </c>
      <c r="AF158" s="3">
        <v>129.4</v>
      </c>
      <c r="AG158" s="3">
        <v>127.9</v>
      </c>
      <c r="AH158" s="3">
        <v>133.3</v>
      </c>
      <c r="AI158" s="3">
        <f t="shared" si="14"/>
        <v>3598</v>
      </c>
    </row>
    <row r="159" spans="1:35">
      <c r="A159" s="3" t="s">
        <v>16</v>
      </c>
      <c r="B159" s="3">
        <v>2017</v>
      </c>
      <c r="C159" s="3" t="s">
        <v>15</v>
      </c>
      <c r="D159" s="3">
        <v>132.6</v>
      </c>
      <c r="E159" s="3">
        <v>144.1</v>
      </c>
      <c r="F159" s="3">
        <v>125.6</v>
      </c>
      <c r="G159" s="3">
        <v>136.8</v>
      </c>
      <c r="H159" s="3">
        <v>113.4</v>
      </c>
      <c r="I159" s="3">
        <v>135.2</v>
      </c>
      <c r="J159" s="3">
        <v>129.2</v>
      </c>
      <c r="K159" s="3">
        <v>131.5</v>
      </c>
      <c r="L159" s="3">
        <v>121</v>
      </c>
      <c r="M159" s="3">
        <v>139.9</v>
      </c>
      <c r="N159" s="3">
        <v>123.8</v>
      </c>
      <c r="O159" s="3">
        <v>142.9</v>
      </c>
      <c r="P159" s="3">
        <v>133.6</v>
      </c>
      <c r="Q159" s="68">
        <f t="shared" si="10"/>
        <v>1709.6</v>
      </c>
      <c r="R159" s="3">
        <v>148.3</v>
      </c>
      <c r="S159" s="3">
        <v>131.5</v>
      </c>
      <c r="T159" s="3">
        <v>123.2</v>
      </c>
      <c r="U159" s="3">
        <v>130.2</v>
      </c>
      <c r="V159" s="69">
        <f t="shared" si="11"/>
        <v>384.9</v>
      </c>
      <c r="W159" s="3">
        <v>132.1</v>
      </c>
      <c r="X159" s="3">
        <v>126.5</v>
      </c>
      <c r="Y159" s="3">
        <v>120.1</v>
      </c>
      <c r="Z159" s="3">
        <f t="shared" si="12"/>
        <v>378.7</v>
      </c>
      <c r="AA159" s="3">
        <v>114.3</v>
      </c>
      <c r="AB159" s="3">
        <v>122</v>
      </c>
      <c r="AC159" s="3">
        <v>123.6</v>
      </c>
      <c r="AD159" s="68">
        <f t="shared" si="13"/>
        <v>245.6</v>
      </c>
      <c r="AE159" s="3">
        <v>133.8</v>
      </c>
      <c r="AF159" s="3">
        <v>122.8</v>
      </c>
      <c r="AG159" s="3">
        <v>122.6</v>
      </c>
      <c r="AH159" s="3">
        <v>129.3</v>
      </c>
      <c r="AI159" s="3">
        <f t="shared" si="14"/>
        <v>3489.9</v>
      </c>
    </row>
    <row r="160" spans="1:35">
      <c r="A160" s="3" t="s">
        <v>17</v>
      </c>
      <c r="B160" s="3">
        <v>2017</v>
      </c>
      <c r="C160" s="3" t="s">
        <v>15</v>
      </c>
      <c r="D160" s="3">
        <v>132.9</v>
      </c>
      <c r="E160" s="3">
        <v>141.6</v>
      </c>
      <c r="F160" s="3">
        <v>126.3</v>
      </c>
      <c r="G160" s="3">
        <v>137.7</v>
      </c>
      <c r="H160" s="3">
        <v>118.1</v>
      </c>
      <c r="I160" s="3">
        <v>137.9</v>
      </c>
      <c r="J160" s="3">
        <v>125.6</v>
      </c>
      <c r="K160" s="3">
        <v>138.3</v>
      </c>
      <c r="L160" s="3">
        <v>119.4</v>
      </c>
      <c r="M160" s="3">
        <v>136</v>
      </c>
      <c r="N160" s="3">
        <v>127.6</v>
      </c>
      <c r="O160" s="3">
        <v>144.5</v>
      </c>
      <c r="P160" s="3">
        <v>133.7</v>
      </c>
      <c r="Q160" s="68">
        <f t="shared" si="10"/>
        <v>1719.6</v>
      </c>
      <c r="R160" s="3">
        <v>146.2</v>
      </c>
      <c r="S160" s="3">
        <v>138.2</v>
      </c>
      <c r="T160" s="3">
        <v>131.4</v>
      </c>
      <c r="U160" s="3">
        <v>137.2</v>
      </c>
      <c r="V160" s="69">
        <f t="shared" si="11"/>
        <v>406.8</v>
      </c>
      <c r="W160" s="3">
        <v>132.1</v>
      </c>
      <c r="X160" s="3">
        <v>130.9</v>
      </c>
      <c r="Y160" s="3">
        <v>129.4</v>
      </c>
      <c r="Z160" s="3">
        <f t="shared" si="12"/>
        <v>392.4</v>
      </c>
      <c r="AA160" s="3">
        <v>116.7</v>
      </c>
      <c r="AB160" s="3">
        <v>123</v>
      </c>
      <c r="AC160" s="3">
        <v>128.4</v>
      </c>
      <c r="AD160" s="68">
        <f t="shared" si="13"/>
        <v>251.4</v>
      </c>
      <c r="AE160" s="3">
        <v>134.8</v>
      </c>
      <c r="AF160" s="3">
        <v>125.7</v>
      </c>
      <c r="AG160" s="3">
        <v>125.3</v>
      </c>
      <c r="AH160" s="3">
        <v>131.4</v>
      </c>
      <c r="AI160" s="3">
        <f t="shared" si="14"/>
        <v>3550.3</v>
      </c>
    </row>
    <row r="161" spans="1:35">
      <c r="A161" s="3" t="s">
        <v>14</v>
      </c>
      <c r="B161" s="3">
        <v>2017</v>
      </c>
      <c r="C161" s="3" t="s">
        <v>30</v>
      </c>
      <c r="D161" s="3">
        <v>133.5</v>
      </c>
      <c r="E161" s="3">
        <v>143.7</v>
      </c>
      <c r="F161" s="3">
        <v>128</v>
      </c>
      <c r="G161" s="3">
        <v>138.6</v>
      </c>
      <c r="H161" s="3">
        <v>120.9</v>
      </c>
      <c r="I161" s="3">
        <v>140.9</v>
      </c>
      <c r="J161" s="3">
        <v>128.8</v>
      </c>
      <c r="K161" s="3">
        <v>140.2</v>
      </c>
      <c r="L161" s="3">
        <v>118.9</v>
      </c>
      <c r="M161" s="3">
        <v>133.5</v>
      </c>
      <c r="N161" s="3">
        <v>130.4</v>
      </c>
      <c r="O161" s="3">
        <v>146.5</v>
      </c>
      <c r="P161" s="3">
        <v>134.9</v>
      </c>
      <c r="Q161" s="68">
        <f t="shared" si="10"/>
        <v>1738.8</v>
      </c>
      <c r="R161" s="3">
        <v>145.8</v>
      </c>
      <c r="S161" s="3">
        <v>143.1</v>
      </c>
      <c r="T161" s="3">
        <v>137.7</v>
      </c>
      <c r="U161" s="3">
        <v>142.3</v>
      </c>
      <c r="V161" s="69">
        <f t="shared" si="11"/>
        <v>423.1</v>
      </c>
      <c r="W161" s="75">
        <v>131.4</v>
      </c>
      <c r="X161" s="3">
        <v>135.2</v>
      </c>
      <c r="Y161" s="3">
        <v>134.8</v>
      </c>
      <c r="Z161" s="3">
        <f t="shared" si="12"/>
        <v>401.4</v>
      </c>
      <c r="AA161" s="3">
        <v>119.4</v>
      </c>
      <c r="AB161" s="3">
        <v>124.1</v>
      </c>
      <c r="AC161" s="3">
        <v>131.3</v>
      </c>
      <c r="AD161" s="68">
        <f t="shared" si="13"/>
        <v>255.4</v>
      </c>
      <c r="AE161" s="3">
        <v>136.9</v>
      </c>
      <c r="AF161" s="3">
        <v>129.8</v>
      </c>
      <c r="AG161" s="3">
        <v>128.1</v>
      </c>
      <c r="AH161" s="3">
        <v>133.9</v>
      </c>
      <c r="AI161" s="3">
        <f t="shared" si="14"/>
        <v>3612.6</v>
      </c>
    </row>
    <row r="162" spans="1:35">
      <c r="A162" s="3" t="s">
        <v>16</v>
      </c>
      <c r="B162" s="3">
        <v>2017</v>
      </c>
      <c r="C162" s="3" t="s">
        <v>30</v>
      </c>
      <c r="D162" s="3">
        <v>132.9</v>
      </c>
      <c r="E162" s="3">
        <v>148.7</v>
      </c>
      <c r="F162" s="3">
        <v>128.3</v>
      </c>
      <c r="G162" s="3">
        <v>137.3</v>
      </c>
      <c r="H162" s="3">
        <v>113.5</v>
      </c>
      <c r="I162" s="3">
        <v>137.2</v>
      </c>
      <c r="J162" s="3">
        <v>142.2</v>
      </c>
      <c r="K162" s="3">
        <v>128.2</v>
      </c>
      <c r="L162" s="3">
        <v>120.9</v>
      </c>
      <c r="M162" s="3">
        <v>138.8</v>
      </c>
      <c r="N162" s="3">
        <v>124.2</v>
      </c>
      <c r="O162" s="3">
        <v>143.1</v>
      </c>
      <c r="P162" s="3">
        <v>135.7</v>
      </c>
      <c r="Q162" s="68">
        <f t="shared" si="10"/>
        <v>1731</v>
      </c>
      <c r="R162" s="3">
        <v>148.6</v>
      </c>
      <c r="S162" s="3">
        <v>131.5</v>
      </c>
      <c r="T162" s="3">
        <v>123.2</v>
      </c>
      <c r="U162" s="3">
        <v>130.2</v>
      </c>
      <c r="V162" s="69">
        <f t="shared" si="11"/>
        <v>384.9</v>
      </c>
      <c r="W162" s="3">
        <v>131.4</v>
      </c>
      <c r="X162" s="3">
        <v>126.8</v>
      </c>
      <c r="Y162" s="3">
        <v>119</v>
      </c>
      <c r="Z162" s="3">
        <f t="shared" si="12"/>
        <v>377.2</v>
      </c>
      <c r="AA162" s="3">
        <v>113.9</v>
      </c>
      <c r="AB162" s="3">
        <v>122.5</v>
      </c>
      <c r="AC162" s="3">
        <v>123.8</v>
      </c>
      <c r="AD162" s="68">
        <f t="shared" si="13"/>
        <v>246.3</v>
      </c>
      <c r="AE162" s="3">
        <v>134.3</v>
      </c>
      <c r="AF162" s="3">
        <v>122.9</v>
      </c>
      <c r="AG162" s="3">
        <v>122.7</v>
      </c>
      <c r="AH162" s="3">
        <v>129.9</v>
      </c>
      <c r="AI162" s="3">
        <f t="shared" si="14"/>
        <v>3511.7</v>
      </c>
    </row>
    <row r="163" spans="1:35">
      <c r="A163" s="3" t="s">
        <v>17</v>
      </c>
      <c r="B163" s="3">
        <v>2017</v>
      </c>
      <c r="C163" s="3" t="s">
        <v>30</v>
      </c>
      <c r="D163" s="3">
        <v>133.3</v>
      </c>
      <c r="E163" s="3">
        <v>145.5</v>
      </c>
      <c r="F163" s="3">
        <v>128.1</v>
      </c>
      <c r="G163" s="3">
        <v>138.1</v>
      </c>
      <c r="H163" s="3">
        <v>118.2</v>
      </c>
      <c r="I163" s="3">
        <v>139.2</v>
      </c>
      <c r="J163" s="3">
        <v>133.3</v>
      </c>
      <c r="K163" s="3">
        <v>136.2</v>
      </c>
      <c r="L163" s="3">
        <v>119.6</v>
      </c>
      <c r="M163" s="3">
        <v>135.3</v>
      </c>
      <c r="N163" s="3">
        <v>127.8</v>
      </c>
      <c r="O163" s="3">
        <v>144.9</v>
      </c>
      <c r="P163" s="3">
        <v>135.2</v>
      </c>
      <c r="Q163" s="68">
        <f t="shared" si="10"/>
        <v>1734.7</v>
      </c>
      <c r="R163" s="3">
        <v>146.5</v>
      </c>
      <c r="S163" s="3">
        <v>138.5</v>
      </c>
      <c r="T163" s="3">
        <v>131.7</v>
      </c>
      <c r="U163" s="3">
        <v>137.5</v>
      </c>
      <c r="V163" s="69">
        <f t="shared" si="11"/>
        <v>407.7</v>
      </c>
      <c r="W163" s="3">
        <v>131.4</v>
      </c>
      <c r="X163" s="3">
        <v>131.2</v>
      </c>
      <c r="Y163" s="3">
        <v>128.8</v>
      </c>
      <c r="Z163" s="3">
        <f t="shared" si="12"/>
        <v>391.4</v>
      </c>
      <c r="AA163" s="3">
        <v>116.5</v>
      </c>
      <c r="AB163" s="3">
        <v>123.4</v>
      </c>
      <c r="AC163" s="3">
        <v>128.5</v>
      </c>
      <c r="AD163" s="68">
        <f t="shared" si="13"/>
        <v>251.9</v>
      </c>
      <c r="AE163" s="3">
        <v>135.4</v>
      </c>
      <c r="AF163" s="3">
        <v>125.9</v>
      </c>
      <c r="AG163" s="3">
        <v>125.5</v>
      </c>
      <c r="AH163" s="3">
        <v>132</v>
      </c>
      <c r="AI163" s="3">
        <f t="shared" si="14"/>
        <v>3567.5</v>
      </c>
    </row>
    <row r="164" spans="1:35">
      <c r="A164" s="3" t="s">
        <v>14</v>
      </c>
      <c r="B164" s="3">
        <v>2017</v>
      </c>
      <c r="C164" s="3" t="s">
        <v>31</v>
      </c>
      <c r="D164" s="3">
        <v>134</v>
      </c>
      <c r="E164" s="3">
        <v>144.2</v>
      </c>
      <c r="F164" s="3">
        <v>129.8</v>
      </c>
      <c r="G164" s="3">
        <v>139</v>
      </c>
      <c r="H164" s="3">
        <v>120.9</v>
      </c>
      <c r="I164" s="3">
        <v>143.9</v>
      </c>
      <c r="J164" s="3">
        <v>151.5</v>
      </c>
      <c r="K164" s="3">
        <v>138.1</v>
      </c>
      <c r="L164" s="3">
        <v>120</v>
      </c>
      <c r="M164" s="3">
        <v>133.9</v>
      </c>
      <c r="N164" s="3">
        <v>131.4</v>
      </c>
      <c r="O164" s="3">
        <v>147.7</v>
      </c>
      <c r="P164" s="3">
        <v>138.5</v>
      </c>
      <c r="Q164" s="68">
        <f t="shared" si="10"/>
        <v>1772.9</v>
      </c>
      <c r="R164" s="3">
        <v>147.4</v>
      </c>
      <c r="S164" s="3">
        <v>144.3</v>
      </c>
      <c r="T164" s="3">
        <v>138.1</v>
      </c>
      <c r="U164" s="3">
        <v>143.5</v>
      </c>
      <c r="V164" s="69">
        <f t="shared" si="11"/>
        <v>425.9</v>
      </c>
      <c r="W164" s="75">
        <v>132.6</v>
      </c>
      <c r="X164" s="3">
        <v>136.1</v>
      </c>
      <c r="Y164" s="3">
        <v>135.3</v>
      </c>
      <c r="Z164" s="3">
        <f t="shared" si="12"/>
        <v>404</v>
      </c>
      <c r="AA164" s="3">
        <v>119.1</v>
      </c>
      <c r="AB164" s="3">
        <v>124.4</v>
      </c>
      <c r="AC164" s="3">
        <v>132.1</v>
      </c>
      <c r="AD164" s="68">
        <f t="shared" si="13"/>
        <v>256.5</v>
      </c>
      <c r="AE164" s="3">
        <v>138.6</v>
      </c>
      <c r="AF164" s="3">
        <v>130.6</v>
      </c>
      <c r="AG164" s="3">
        <v>128.6</v>
      </c>
      <c r="AH164" s="3">
        <v>136.2</v>
      </c>
      <c r="AI164" s="3">
        <f t="shared" si="14"/>
        <v>3659.8</v>
      </c>
    </row>
    <row r="165" spans="1:35">
      <c r="A165" s="3" t="s">
        <v>16</v>
      </c>
      <c r="B165" s="3">
        <v>2017</v>
      </c>
      <c r="C165" s="3" t="s">
        <v>31</v>
      </c>
      <c r="D165" s="3">
        <v>132.8</v>
      </c>
      <c r="E165" s="3">
        <v>148.4</v>
      </c>
      <c r="F165" s="3">
        <v>129.4</v>
      </c>
      <c r="G165" s="3">
        <v>137.7</v>
      </c>
      <c r="H165" s="3">
        <v>113.4</v>
      </c>
      <c r="I165" s="3">
        <v>139.4</v>
      </c>
      <c r="J165" s="3">
        <v>175.1</v>
      </c>
      <c r="K165" s="3">
        <v>124.7</v>
      </c>
      <c r="L165" s="3">
        <v>121.5</v>
      </c>
      <c r="M165" s="3">
        <v>137.8</v>
      </c>
      <c r="N165" s="3">
        <v>124.4</v>
      </c>
      <c r="O165" s="3">
        <v>143.7</v>
      </c>
      <c r="P165" s="3">
        <v>139.8</v>
      </c>
      <c r="Q165" s="68">
        <f t="shared" si="10"/>
        <v>1768.1</v>
      </c>
      <c r="R165" s="3">
        <v>150.5</v>
      </c>
      <c r="S165" s="3">
        <v>131.6</v>
      </c>
      <c r="T165" s="3">
        <v>123.7</v>
      </c>
      <c r="U165" s="3">
        <v>130.4</v>
      </c>
      <c r="V165" s="69">
        <f t="shared" si="11"/>
        <v>385.7</v>
      </c>
      <c r="W165" s="3">
        <v>132.6</v>
      </c>
      <c r="X165" s="3">
        <v>127.2</v>
      </c>
      <c r="Y165" s="3">
        <v>119.7</v>
      </c>
      <c r="Z165" s="3">
        <f t="shared" si="12"/>
        <v>379.5</v>
      </c>
      <c r="AA165" s="3">
        <v>113.2</v>
      </c>
      <c r="AB165" s="3">
        <v>122.4</v>
      </c>
      <c r="AC165" s="3">
        <v>125</v>
      </c>
      <c r="AD165" s="68">
        <f t="shared" si="13"/>
        <v>247.4</v>
      </c>
      <c r="AE165" s="3">
        <v>135.5</v>
      </c>
      <c r="AF165" s="3">
        <v>123.5</v>
      </c>
      <c r="AG165" s="3">
        <v>123</v>
      </c>
      <c r="AH165" s="3">
        <v>131.8</v>
      </c>
      <c r="AI165" s="3">
        <f t="shared" si="14"/>
        <v>3558.2</v>
      </c>
    </row>
    <row r="166" spans="1:35">
      <c r="A166" s="3" t="s">
        <v>17</v>
      </c>
      <c r="B166" s="3">
        <v>2017</v>
      </c>
      <c r="C166" s="3" t="s">
        <v>31</v>
      </c>
      <c r="D166" s="3">
        <v>133.6</v>
      </c>
      <c r="E166" s="3">
        <v>145.7</v>
      </c>
      <c r="F166" s="3">
        <v>129.6</v>
      </c>
      <c r="G166" s="3">
        <v>138.5</v>
      </c>
      <c r="H166" s="3">
        <v>118.1</v>
      </c>
      <c r="I166" s="3">
        <v>141.8</v>
      </c>
      <c r="J166" s="3">
        <v>159.5</v>
      </c>
      <c r="K166" s="3">
        <v>133.6</v>
      </c>
      <c r="L166" s="3">
        <v>120.5</v>
      </c>
      <c r="M166" s="3">
        <v>135.2</v>
      </c>
      <c r="N166" s="3">
        <v>128.5</v>
      </c>
      <c r="O166" s="3">
        <v>145.8</v>
      </c>
      <c r="P166" s="3">
        <v>139</v>
      </c>
      <c r="Q166" s="68">
        <f t="shared" si="10"/>
        <v>1769.4</v>
      </c>
      <c r="R166" s="3">
        <v>148.2</v>
      </c>
      <c r="S166" s="3">
        <v>139.3</v>
      </c>
      <c r="T166" s="3">
        <v>132.1</v>
      </c>
      <c r="U166" s="3">
        <v>138.3</v>
      </c>
      <c r="V166" s="69">
        <f t="shared" si="11"/>
        <v>409.7</v>
      </c>
      <c r="W166" s="3">
        <v>132.6</v>
      </c>
      <c r="X166" s="3">
        <v>131.9</v>
      </c>
      <c r="Y166" s="3">
        <v>129.4</v>
      </c>
      <c r="Z166" s="3">
        <f t="shared" si="12"/>
        <v>393.9</v>
      </c>
      <c r="AA166" s="3">
        <v>116</v>
      </c>
      <c r="AB166" s="3">
        <v>123.6</v>
      </c>
      <c r="AC166" s="3">
        <v>129.4</v>
      </c>
      <c r="AD166" s="68">
        <f t="shared" si="13"/>
        <v>253</v>
      </c>
      <c r="AE166" s="3">
        <v>136.8</v>
      </c>
      <c r="AF166" s="3">
        <v>126.6</v>
      </c>
      <c r="AG166" s="3">
        <v>125.9</v>
      </c>
      <c r="AH166" s="3">
        <v>134.2</v>
      </c>
      <c r="AI166" s="3">
        <f t="shared" si="14"/>
        <v>3613.7</v>
      </c>
    </row>
    <row r="167" spans="1:35">
      <c r="A167" s="3" t="s">
        <v>14</v>
      </c>
      <c r="B167" s="3">
        <v>2017</v>
      </c>
      <c r="C167" s="3" t="s">
        <v>32</v>
      </c>
      <c r="D167" s="3">
        <v>134.8</v>
      </c>
      <c r="E167" s="3">
        <v>143.1</v>
      </c>
      <c r="F167" s="3">
        <v>130</v>
      </c>
      <c r="G167" s="3">
        <v>139.4</v>
      </c>
      <c r="H167" s="3">
        <v>120.5</v>
      </c>
      <c r="I167" s="3">
        <v>148</v>
      </c>
      <c r="J167" s="3">
        <v>162.9</v>
      </c>
      <c r="K167" s="3">
        <v>137.4</v>
      </c>
      <c r="L167" s="3">
        <v>120.8</v>
      </c>
      <c r="M167" s="3">
        <v>134.7</v>
      </c>
      <c r="N167" s="3">
        <v>131.6</v>
      </c>
      <c r="O167" s="3">
        <v>148.7</v>
      </c>
      <c r="P167" s="3">
        <v>140.6</v>
      </c>
      <c r="Q167" s="68">
        <f t="shared" si="10"/>
        <v>1792.5</v>
      </c>
      <c r="R167" s="3">
        <v>149</v>
      </c>
      <c r="S167" s="3">
        <v>145.3</v>
      </c>
      <c r="T167" s="3">
        <v>139.2</v>
      </c>
      <c r="U167" s="3">
        <v>144.5</v>
      </c>
      <c r="V167" s="69">
        <f t="shared" si="11"/>
        <v>429</v>
      </c>
      <c r="W167" s="75">
        <v>134.4</v>
      </c>
      <c r="X167" s="3">
        <v>137.3</v>
      </c>
      <c r="Y167" s="3">
        <v>136.4</v>
      </c>
      <c r="Z167" s="3">
        <f t="shared" si="12"/>
        <v>408.1</v>
      </c>
      <c r="AA167" s="3">
        <v>120.3</v>
      </c>
      <c r="AB167" s="3">
        <v>125.4</v>
      </c>
      <c r="AC167" s="3">
        <v>133</v>
      </c>
      <c r="AD167" s="68">
        <f t="shared" si="13"/>
        <v>258.4</v>
      </c>
      <c r="AE167" s="3">
        <v>140.2</v>
      </c>
      <c r="AF167" s="3">
        <v>131.5</v>
      </c>
      <c r="AG167" s="3">
        <v>129.7</v>
      </c>
      <c r="AH167" s="3">
        <v>137.8</v>
      </c>
      <c r="AI167" s="3">
        <f t="shared" si="14"/>
        <v>3696.5</v>
      </c>
    </row>
    <row r="168" spans="1:35">
      <c r="A168" s="3" t="s">
        <v>16</v>
      </c>
      <c r="B168" s="3">
        <v>2017</v>
      </c>
      <c r="C168" s="3" t="s">
        <v>32</v>
      </c>
      <c r="D168" s="3">
        <v>133.2</v>
      </c>
      <c r="E168" s="3">
        <v>143.9</v>
      </c>
      <c r="F168" s="3">
        <v>128.3</v>
      </c>
      <c r="G168" s="3">
        <v>138.3</v>
      </c>
      <c r="H168" s="3">
        <v>114.1</v>
      </c>
      <c r="I168" s="3">
        <v>142.7</v>
      </c>
      <c r="J168" s="3">
        <v>179.8</v>
      </c>
      <c r="K168" s="3">
        <v>123.5</v>
      </c>
      <c r="L168" s="3">
        <v>122.1</v>
      </c>
      <c r="M168" s="3">
        <v>137.5</v>
      </c>
      <c r="N168" s="3">
        <v>124.6</v>
      </c>
      <c r="O168" s="3">
        <v>144.5</v>
      </c>
      <c r="P168" s="3">
        <v>140.5</v>
      </c>
      <c r="Q168" s="68">
        <f t="shared" si="10"/>
        <v>1773</v>
      </c>
      <c r="R168" s="3">
        <v>152.1</v>
      </c>
      <c r="S168" s="3">
        <v>132.7</v>
      </c>
      <c r="T168" s="3">
        <v>124.3</v>
      </c>
      <c r="U168" s="3">
        <v>131.4</v>
      </c>
      <c r="V168" s="69">
        <f t="shared" si="11"/>
        <v>388.4</v>
      </c>
      <c r="W168" s="3">
        <v>134.4</v>
      </c>
      <c r="X168" s="3">
        <v>127.7</v>
      </c>
      <c r="Y168" s="3">
        <v>118.9</v>
      </c>
      <c r="Z168" s="3">
        <f t="shared" si="12"/>
        <v>381</v>
      </c>
      <c r="AA168" s="3">
        <v>114.6</v>
      </c>
      <c r="AB168" s="3">
        <v>123.3</v>
      </c>
      <c r="AC168" s="3">
        <v>125.7</v>
      </c>
      <c r="AD168" s="68">
        <f t="shared" si="13"/>
        <v>249</v>
      </c>
      <c r="AE168" s="3">
        <v>135.7</v>
      </c>
      <c r="AF168" s="3">
        <v>124.1</v>
      </c>
      <c r="AG168" s="3">
        <v>123.8</v>
      </c>
      <c r="AH168" s="3">
        <v>132.7</v>
      </c>
      <c r="AI168" s="3">
        <f t="shared" si="14"/>
        <v>3574.4</v>
      </c>
    </row>
    <row r="169" spans="1:35">
      <c r="A169" s="3" t="s">
        <v>17</v>
      </c>
      <c r="B169" s="3">
        <v>2017</v>
      </c>
      <c r="C169" s="3" t="s">
        <v>32</v>
      </c>
      <c r="D169" s="3">
        <v>134.3</v>
      </c>
      <c r="E169" s="3">
        <v>143.4</v>
      </c>
      <c r="F169" s="3">
        <v>129.3</v>
      </c>
      <c r="G169" s="3">
        <v>139</v>
      </c>
      <c r="H169" s="3">
        <v>118.1</v>
      </c>
      <c r="I169" s="3">
        <v>145.5</v>
      </c>
      <c r="J169" s="3">
        <v>168.6</v>
      </c>
      <c r="K169" s="3">
        <v>132.7</v>
      </c>
      <c r="L169" s="3">
        <v>121.2</v>
      </c>
      <c r="M169" s="3">
        <v>135.6</v>
      </c>
      <c r="N169" s="3">
        <v>128.7</v>
      </c>
      <c r="O169" s="3">
        <v>146.8</v>
      </c>
      <c r="P169" s="3">
        <v>140.6</v>
      </c>
      <c r="Q169" s="68">
        <f t="shared" si="10"/>
        <v>1783.8</v>
      </c>
      <c r="R169" s="3">
        <v>149.8</v>
      </c>
      <c r="S169" s="3">
        <v>140.3</v>
      </c>
      <c r="T169" s="3">
        <v>133</v>
      </c>
      <c r="U169" s="3">
        <v>139.3</v>
      </c>
      <c r="V169" s="69">
        <f t="shared" si="11"/>
        <v>412.6</v>
      </c>
      <c r="W169" s="3">
        <v>134.4</v>
      </c>
      <c r="X169" s="3">
        <v>132.8</v>
      </c>
      <c r="Y169" s="3">
        <v>129.8</v>
      </c>
      <c r="Z169" s="3">
        <f t="shared" si="12"/>
        <v>397</v>
      </c>
      <c r="AA169" s="3">
        <v>117.3</v>
      </c>
      <c r="AB169" s="3">
        <v>124.5</v>
      </c>
      <c r="AC169" s="3">
        <v>130.2</v>
      </c>
      <c r="AD169" s="68">
        <f t="shared" si="13"/>
        <v>254.7</v>
      </c>
      <c r="AE169" s="3">
        <v>137.6</v>
      </c>
      <c r="AF169" s="3">
        <v>127.3</v>
      </c>
      <c r="AG169" s="3">
        <v>126.8</v>
      </c>
      <c r="AH169" s="3">
        <v>135.4</v>
      </c>
      <c r="AI169" s="3">
        <f t="shared" si="14"/>
        <v>3642.3</v>
      </c>
    </row>
    <row r="170" spans="1:35">
      <c r="A170" s="3" t="s">
        <v>14</v>
      </c>
      <c r="B170" s="3">
        <v>2017</v>
      </c>
      <c r="C170" s="3" t="s">
        <v>33</v>
      </c>
      <c r="D170" s="3">
        <v>135.2</v>
      </c>
      <c r="E170" s="3">
        <v>142</v>
      </c>
      <c r="F170" s="3">
        <v>130.5</v>
      </c>
      <c r="G170" s="3">
        <v>140.2</v>
      </c>
      <c r="H170" s="3">
        <v>120.7</v>
      </c>
      <c r="I170" s="3">
        <v>147.8</v>
      </c>
      <c r="J170" s="3">
        <v>154.5</v>
      </c>
      <c r="K170" s="3">
        <v>137.1</v>
      </c>
      <c r="L170" s="3">
        <v>121</v>
      </c>
      <c r="M170" s="3">
        <v>134.7</v>
      </c>
      <c r="N170" s="3">
        <v>131.7</v>
      </c>
      <c r="O170" s="3">
        <v>149.3</v>
      </c>
      <c r="P170" s="3">
        <v>139.6</v>
      </c>
      <c r="Q170" s="68">
        <f t="shared" si="10"/>
        <v>1784.3</v>
      </c>
      <c r="R170" s="3">
        <v>149.8</v>
      </c>
      <c r="S170" s="3">
        <v>146.1</v>
      </c>
      <c r="T170" s="3">
        <v>139.7</v>
      </c>
      <c r="U170" s="3">
        <v>145.2</v>
      </c>
      <c r="V170" s="69">
        <f t="shared" si="11"/>
        <v>431</v>
      </c>
      <c r="W170" s="75">
        <v>135.7</v>
      </c>
      <c r="X170" s="3">
        <v>137.9</v>
      </c>
      <c r="Y170" s="3">
        <v>137.4</v>
      </c>
      <c r="Z170" s="3">
        <f t="shared" si="12"/>
        <v>411</v>
      </c>
      <c r="AA170" s="3">
        <v>121.2</v>
      </c>
      <c r="AB170" s="3">
        <v>126.7</v>
      </c>
      <c r="AC170" s="3">
        <v>133.4</v>
      </c>
      <c r="AD170" s="68">
        <f t="shared" si="13"/>
        <v>260.1</v>
      </c>
      <c r="AE170" s="3">
        <v>139.6</v>
      </c>
      <c r="AF170" s="3">
        <v>132.3</v>
      </c>
      <c r="AG170" s="3">
        <v>130.3</v>
      </c>
      <c r="AH170" s="3">
        <v>137.6</v>
      </c>
      <c r="AI170" s="3">
        <f t="shared" si="14"/>
        <v>3697.2</v>
      </c>
    </row>
    <row r="171" spans="1:35">
      <c r="A171" s="3" t="s">
        <v>16</v>
      </c>
      <c r="B171" s="3">
        <v>2017</v>
      </c>
      <c r="C171" s="3" t="s">
        <v>33</v>
      </c>
      <c r="D171" s="3">
        <v>133.6</v>
      </c>
      <c r="E171" s="3">
        <v>143</v>
      </c>
      <c r="F171" s="3">
        <v>129.7</v>
      </c>
      <c r="G171" s="3">
        <v>138.7</v>
      </c>
      <c r="H171" s="3">
        <v>114.5</v>
      </c>
      <c r="I171" s="3">
        <v>137.5</v>
      </c>
      <c r="J171" s="3">
        <v>160.7</v>
      </c>
      <c r="K171" s="3">
        <v>124.5</v>
      </c>
      <c r="L171" s="3">
        <v>122.4</v>
      </c>
      <c r="M171" s="3">
        <v>137.3</v>
      </c>
      <c r="N171" s="3">
        <v>124.8</v>
      </c>
      <c r="O171" s="3">
        <v>145</v>
      </c>
      <c r="P171" s="3">
        <v>138</v>
      </c>
      <c r="Q171" s="68">
        <f t="shared" si="10"/>
        <v>1749.7</v>
      </c>
      <c r="R171" s="3">
        <v>153.6</v>
      </c>
      <c r="S171" s="3">
        <v>133.3</v>
      </c>
      <c r="T171" s="3">
        <v>124.6</v>
      </c>
      <c r="U171" s="3">
        <v>132</v>
      </c>
      <c r="V171" s="69">
        <f t="shared" si="11"/>
        <v>389.9</v>
      </c>
      <c r="W171" s="3">
        <v>135.7</v>
      </c>
      <c r="X171" s="3">
        <v>128.1</v>
      </c>
      <c r="Y171" s="3">
        <v>120.6</v>
      </c>
      <c r="Z171" s="3">
        <f t="shared" si="12"/>
        <v>384.4</v>
      </c>
      <c r="AA171" s="3">
        <v>115.7</v>
      </c>
      <c r="AB171" s="3">
        <v>124.4</v>
      </c>
      <c r="AC171" s="3">
        <v>126.1</v>
      </c>
      <c r="AD171" s="68">
        <f t="shared" si="13"/>
        <v>250.5</v>
      </c>
      <c r="AE171" s="3">
        <v>135.9</v>
      </c>
      <c r="AF171" s="3">
        <v>124.5</v>
      </c>
      <c r="AG171" s="3">
        <v>124.5</v>
      </c>
      <c r="AH171" s="3">
        <v>132.4</v>
      </c>
      <c r="AI171" s="3">
        <f t="shared" si="14"/>
        <v>3561.1</v>
      </c>
    </row>
    <row r="172" spans="1:35">
      <c r="A172" s="3" t="s">
        <v>17</v>
      </c>
      <c r="B172" s="3">
        <v>2017</v>
      </c>
      <c r="C172" s="3" t="s">
        <v>33</v>
      </c>
      <c r="D172" s="3">
        <v>134.7</v>
      </c>
      <c r="E172" s="3">
        <v>142.4</v>
      </c>
      <c r="F172" s="3">
        <v>130.2</v>
      </c>
      <c r="G172" s="3">
        <v>139.6</v>
      </c>
      <c r="H172" s="3">
        <v>118.4</v>
      </c>
      <c r="I172" s="3">
        <v>143</v>
      </c>
      <c r="J172" s="3">
        <v>156.6</v>
      </c>
      <c r="K172" s="3">
        <v>132.9</v>
      </c>
      <c r="L172" s="3">
        <v>121.5</v>
      </c>
      <c r="M172" s="3">
        <v>135.6</v>
      </c>
      <c r="N172" s="3">
        <v>128.8</v>
      </c>
      <c r="O172" s="3">
        <v>147.3</v>
      </c>
      <c r="P172" s="3">
        <v>139</v>
      </c>
      <c r="Q172" s="68">
        <f t="shared" si="10"/>
        <v>1770</v>
      </c>
      <c r="R172" s="3">
        <v>150.8</v>
      </c>
      <c r="S172" s="3">
        <v>141.1</v>
      </c>
      <c r="T172" s="3">
        <v>133.4</v>
      </c>
      <c r="U172" s="3">
        <v>140</v>
      </c>
      <c r="V172" s="69">
        <f t="shared" si="11"/>
        <v>414.5</v>
      </c>
      <c r="W172" s="3">
        <v>135.7</v>
      </c>
      <c r="X172" s="3">
        <v>133.3</v>
      </c>
      <c r="Y172" s="3">
        <v>131</v>
      </c>
      <c r="Z172" s="3">
        <f t="shared" si="12"/>
        <v>400</v>
      </c>
      <c r="AA172" s="3">
        <v>118.3</v>
      </c>
      <c r="AB172" s="3">
        <v>125.7</v>
      </c>
      <c r="AC172" s="3">
        <v>130.6</v>
      </c>
      <c r="AD172" s="68">
        <f t="shared" si="13"/>
        <v>256.3</v>
      </c>
      <c r="AE172" s="3">
        <v>137.4</v>
      </c>
      <c r="AF172" s="3">
        <v>127.9</v>
      </c>
      <c r="AG172" s="3">
        <v>127.5</v>
      </c>
      <c r="AH172" s="3">
        <v>135.2</v>
      </c>
      <c r="AI172" s="3">
        <f t="shared" si="14"/>
        <v>3637.9</v>
      </c>
    </row>
    <row r="173" spans="1:35">
      <c r="A173" s="3" t="s">
        <v>14</v>
      </c>
      <c r="B173" s="3">
        <v>2017</v>
      </c>
      <c r="C173" s="3" t="s">
        <v>34</v>
      </c>
      <c r="D173" s="3">
        <v>135.9</v>
      </c>
      <c r="E173" s="3">
        <v>141.9</v>
      </c>
      <c r="F173" s="3">
        <v>131</v>
      </c>
      <c r="G173" s="3">
        <v>141.5</v>
      </c>
      <c r="H173" s="3">
        <v>121.4</v>
      </c>
      <c r="I173" s="3">
        <v>146.7</v>
      </c>
      <c r="J173" s="3">
        <v>157.1</v>
      </c>
      <c r="K173" s="3">
        <v>136.4</v>
      </c>
      <c r="L173" s="3">
        <v>121.4</v>
      </c>
      <c r="M173" s="3">
        <v>135.6</v>
      </c>
      <c r="N173" s="3">
        <v>131.3</v>
      </c>
      <c r="O173" s="3">
        <v>150.3</v>
      </c>
      <c r="P173" s="3">
        <v>140.4</v>
      </c>
      <c r="Q173" s="68">
        <f t="shared" si="10"/>
        <v>1790.9</v>
      </c>
      <c r="R173" s="3">
        <v>150.5</v>
      </c>
      <c r="S173" s="3">
        <v>147.2</v>
      </c>
      <c r="T173" s="3">
        <v>140.6</v>
      </c>
      <c r="U173" s="3">
        <v>146.2</v>
      </c>
      <c r="V173" s="69">
        <f t="shared" si="11"/>
        <v>434</v>
      </c>
      <c r="W173" s="75">
        <v>137.3</v>
      </c>
      <c r="X173" s="3">
        <v>138.4</v>
      </c>
      <c r="Y173" s="3">
        <v>138.1</v>
      </c>
      <c r="Z173" s="3">
        <f t="shared" si="12"/>
        <v>413.8</v>
      </c>
      <c r="AA173" s="3">
        <v>121</v>
      </c>
      <c r="AB173" s="3">
        <v>127.4</v>
      </c>
      <c r="AC173" s="3">
        <v>134.2</v>
      </c>
      <c r="AD173" s="68">
        <f t="shared" si="13"/>
        <v>261.6</v>
      </c>
      <c r="AE173" s="3">
        <v>140.1</v>
      </c>
      <c r="AF173" s="3">
        <v>133</v>
      </c>
      <c r="AG173" s="3">
        <v>130.7</v>
      </c>
      <c r="AH173" s="3">
        <v>138.3</v>
      </c>
      <c r="AI173" s="3">
        <f t="shared" si="14"/>
        <v>3713.9</v>
      </c>
    </row>
    <row r="174" spans="1:35">
      <c r="A174" s="3" t="s">
        <v>16</v>
      </c>
      <c r="B174" s="3">
        <v>2017</v>
      </c>
      <c r="C174" s="3" t="s">
        <v>34</v>
      </c>
      <c r="D174" s="3">
        <v>133.9</v>
      </c>
      <c r="E174" s="3">
        <v>142.8</v>
      </c>
      <c r="F174" s="3">
        <v>131.4</v>
      </c>
      <c r="G174" s="3">
        <v>139.1</v>
      </c>
      <c r="H174" s="3">
        <v>114.9</v>
      </c>
      <c r="I174" s="3">
        <v>135.6</v>
      </c>
      <c r="J174" s="3">
        <v>173.2</v>
      </c>
      <c r="K174" s="3">
        <v>124.1</v>
      </c>
      <c r="L174" s="3">
        <v>122.6</v>
      </c>
      <c r="M174" s="3">
        <v>137.8</v>
      </c>
      <c r="N174" s="3">
        <v>125.1</v>
      </c>
      <c r="O174" s="3">
        <v>145.5</v>
      </c>
      <c r="P174" s="3">
        <v>139.7</v>
      </c>
      <c r="Q174" s="68">
        <f t="shared" si="10"/>
        <v>1765.7</v>
      </c>
      <c r="R174" s="3">
        <v>154.6</v>
      </c>
      <c r="S174" s="3">
        <v>134</v>
      </c>
      <c r="T174" s="3">
        <v>124.9</v>
      </c>
      <c r="U174" s="3">
        <v>132.6</v>
      </c>
      <c r="V174" s="69">
        <f t="shared" si="11"/>
        <v>391.5</v>
      </c>
      <c r="W174" s="3">
        <v>137.3</v>
      </c>
      <c r="X174" s="3">
        <v>128.3</v>
      </c>
      <c r="Y174" s="3">
        <v>122.6</v>
      </c>
      <c r="Z174" s="3">
        <f t="shared" si="12"/>
        <v>388.2</v>
      </c>
      <c r="AA174" s="3">
        <v>115</v>
      </c>
      <c r="AB174" s="3">
        <v>124.6</v>
      </c>
      <c r="AC174" s="3">
        <v>126.6</v>
      </c>
      <c r="AD174" s="68">
        <f t="shared" si="13"/>
        <v>251.2</v>
      </c>
      <c r="AE174" s="3">
        <v>136.3</v>
      </c>
      <c r="AF174" s="3">
        <v>124.8</v>
      </c>
      <c r="AG174" s="3">
        <v>124.5</v>
      </c>
      <c r="AH174" s="3">
        <v>133.5</v>
      </c>
      <c r="AI174" s="3">
        <f t="shared" si="14"/>
        <v>3585.3</v>
      </c>
    </row>
    <row r="175" spans="1:35">
      <c r="A175" s="3" t="s">
        <v>17</v>
      </c>
      <c r="B175" s="3">
        <v>2017</v>
      </c>
      <c r="C175" s="3" t="s">
        <v>34</v>
      </c>
      <c r="D175" s="3">
        <v>135.3</v>
      </c>
      <c r="E175" s="3">
        <v>142.2</v>
      </c>
      <c r="F175" s="3">
        <v>131.2</v>
      </c>
      <c r="G175" s="3">
        <v>140.6</v>
      </c>
      <c r="H175" s="3">
        <v>119</v>
      </c>
      <c r="I175" s="3">
        <v>141.5</v>
      </c>
      <c r="J175" s="3">
        <v>162.6</v>
      </c>
      <c r="K175" s="3">
        <v>132.3</v>
      </c>
      <c r="L175" s="3">
        <v>121.8</v>
      </c>
      <c r="M175" s="3">
        <v>136.3</v>
      </c>
      <c r="N175" s="3">
        <v>128.7</v>
      </c>
      <c r="O175" s="3">
        <v>148.1</v>
      </c>
      <c r="P175" s="3">
        <v>140.1</v>
      </c>
      <c r="Q175" s="68">
        <f t="shared" si="10"/>
        <v>1779.7</v>
      </c>
      <c r="R175" s="3">
        <v>151.6</v>
      </c>
      <c r="S175" s="3">
        <v>142</v>
      </c>
      <c r="T175" s="3">
        <v>134.1</v>
      </c>
      <c r="U175" s="3">
        <v>140.8</v>
      </c>
      <c r="V175" s="69">
        <f t="shared" si="11"/>
        <v>416.9</v>
      </c>
      <c r="W175" s="3">
        <v>137.3</v>
      </c>
      <c r="X175" s="3">
        <v>133.6</v>
      </c>
      <c r="Y175" s="3">
        <v>132.2</v>
      </c>
      <c r="Z175" s="3">
        <f t="shared" si="12"/>
        <v>403.1</v>
      </c>
      <c r="AA175" s="3">
        <v>117.8</v>
      </c>
      <c r="AB175" s="3">
        <v>126.2</v>
      </c>
      <c r="AC175" s="3">
        <v>131.3</v>
      </c>
      <c r="AD175" s="68">
        <f t="shared" si="13"/>
        <v>257.5</v>
      </c>
      <c r="AE175" s="3">
        <v>137.9</v>
      </c>
      <c r="AF175" s="3">
        <v>128.4</v>
      </c>
      <c r="AG175" s="3">
        <v>127.7</v>
      </c>
      <c r="AH175" s="3">
        <v>136.1</v>
      </c>
      <c r="AI175" s="3">
        <f t="shared" si="14"/>
        <v>3656.7</v>
      </c>
    </row>
    <row r="176" spans="1:35">
      <c r="A176" s="3" t="s">
        <v>14</v>
      </c>
      <c r="B176" s="3">
        <v>2017</v>
      </c>
      <c r="C176" s="3" t="s">
        <v>36</v>
      </c>
      <c r="D176" s="3">
        <v>136.3</v>
      </c>
      <c r="E176" s="3">
        <v>142.5</v>
      </c>
      <c r="F176" s="3">
        <v>140.5</v>
      </c>
      <c r="G176" s="3">
        <v>141.5</v>
      </c>
      <c r="H176" s="3">
        <v>121.6</v>
      </c>
      <c r="I176" s="3">
        <v>147.3</v>
      </c>
      <c r="J176" s="3">
        <v>168</v>
      </c>
      <c r="K176" s="3">
        <v>135.8</v>
      </c>
      <c r="L176" s="3">
        <v>122.5</v>
      </c>
      <c r="M176" s="3">
        <v>136</v>
      </c>
      <c r="N176" s="3">
        <v>131.9</v>
      </c>
      <c r="O176" s="3">
        <v>151.4</v>
      </c>
      <c r="P176" s="3">
        <v>142.4</v>
      </c>
      <c r="Q176" s="68">
        <f t="shared" si="10"/>
        <v>1817.7</v>
      </c>
      <c r="R176" s="3">
        <v>152.1</v>
      </c>
      <c r="S176" s="3">
        <v>148.2</v>
      </c>
      <c r="T176" s="3">
        <v>141.5</v>
      </c>
      <c r="U176" s="3">
        <v>147.3</v>
      </c>
      <c r="V176" s="69">
        <f t="shared" si="11"/>
        <v>437</v>
      </c>
      <c r="W176" s="75">
        <v>138.6</v>
      </c>
      <c r="X176" s="3">
        <v>139.4</v>
      </c>
      <c r="Y176" s="3">
        <v>141.1</v>
      </c>
      <c r="Z176" s="3">
        <f t="shared" si="12"/>
        <v>419.1</v>
      </c>
      <c r="AA176" s="3">
        <v>121.6</v>
      </c>
      <c r="AB176" s="3">
        <v>128.1</v>
      </c>
      <c r="AC176" s="3">
        <v>135.8</v>
      </c>
      <c r="AD176" s="68">
        <f t="shared" si="13"/>
        <v>263.9</v>
      </c>
      <c r="AE176" s="3">
        <v>141.5</v>
      </c>
      <c r="AF176" s="3">
        <v>133.7</v>
      </c>
      <c r="AG176" s="3">
        <v>131.7</v>
      </c>
      <c r="AH176" s="3">
        <v>140</v>
      </c>
      <c r="AI176" s="3">
        <f t="shared" si="14"/>
        <v>3758.3</v>
      </c>
    </row>
    <row r="177" spans="1:35">
      <c r="A177" s="3" t="s">
        <v>16</v>
      </c>
      <c r="B177" s="3">
        <v>2017</v>
      </c>
      <c r="C177" s="3" t="s">
        <v>36</v>
      </c>
      <c r="D177" s="3">
        <v>134.3</v>
      </c>
      <c r="E177" s="3">
        <v>142.1</v>
      </c>
      <c r="F177" s="3">
        <v>146.7</v>
      </c>
      <c r="G177" s="3">
        <v>139.5</v>
      </c>
      <c r="H177" s="3">
        <v>115.2</v>
      </c>
      <c r="I177" s="3">
        <v>136.4</v>
      </c>
      <c r="J177" s="3">
        <v>185.2</v>
      </c>
      <c r="K177" s="3">
        <v>122.2</v>
      </c>
      <c r="L177" s="3">
        <v>123.9</v>
      </c>
      <c r="M177" s="3">
        <v>138.3</v>
      </c>
      <c r="N177" s="3">
        <v>125.4</v>
      </c>
      <c r="O177" s="3">
        <v>146</v>
      </c>
      <c r="P177" s="3">
        <v>141.5</v>
      </c>
      <c r="Q177" s="68">
        <f t="shared" si="10"/>
        <v>1796.7</v>
      </c>
      <c r="R177" s="3">
        <v>156.2</v>
      </c>
      <c r="S177" s="3">
        <v>135</v>
      </c>
      <c r="T177" s="3">
        <v>125.4</v>
      </c>
      <c r="U177" s="3">
        <v>133.5</v>
      </c>
      <c r="V177" s="69">
        <f t="shared" si="11"/>
        <v>393.9</v>
      </c>
      <c r="W177" s="3">
        <v>138.6</v>
      </c>
      <c r="X177" s="3">
        <v>128.8</v>
      </c>
      <c r="Y177" s="3">
        <v>125.7</v>
      </c>
      <c r="Z177" s="3">
        <f t="shared" si="12"/>
        <v>393.1</v>
      </c>
      <c r="AA177" s="3">
        <v>115.3</v>
      </c>
      <c r="AB177" s="3">
        <v>124.9</v>
      </c>
      <c r="AC177" s="3">
        <v>127.4</v>
      </c>
      <c r="AD177" s="68">
        <f t="shared" si="13"/>
        <v>252.3</v>
      </c>
      <c r="AE177" s="3">
        <v>136.6</v>
      </c>
      <c r="AF177" s="3">
        <v>125.1</v>
      </c>
      <c r="AG177" s="3">
        <v>124.9</v>
      </c>
      <c r="AH177" s="3">
        <v>134.8</v>
      </c>
      <c r="AI177" s="3">
        <f t="shared" si="14"/>
        <v>3628.9</v>
      </c>
    </row>
    <row r="178" spans="1:35">
      <c r="A178" s="3" t="s">
        <v>17</v>
      </c>
      <c r="B178" s="3">
        <v>2017</v>
      </c>
      <c r="C178" s="3" t="s">
        <v>36</v>
      </c>
      <c r="D178" s="3">
        <v>135.7</v>
      </c>
      <c r="E178" s="3">
        <v>142.4</v>
      </c>
      <c r="F178" s="3">
        <v>142.9</v>
      </c>
      <c r="G178" s="3">
        <v>140.8</v>
      </c>
      <c r="H178" s="3">
        <v>119.2</v>
      </c>
      <c r="I178" s="3">
        <v>142.2</v>
      </c>
      <c r="J178" s="3">
        <v>173.8</v>
      </c>
      <c r="K178" s="3">
        <v>131.2</v>
      </c>
      <c r="L178" s="3">
        <v>123</v>
      </c>
      <c r="M178" s="3">
        <v>136.8</v>
      </c>
      <c r="N178" s="3">
        <v>129.2</v>
      </c>
      <c r="O178" s="3">
        <v>148.9</v>
      </c>
      <c r="P178" s="3">
        <v>142.1</v>
      </c>
      <c r="Q178" s="68">
        <f t="shared" si="10"/>
        <v>1808.2</v>
      </c>
      <c r="R178" s="3">
        <v>153.2</v>
      </c>
      <c r="S178" s="3">
        <v>143</v>
      </c>
      <c r="T178" s="3">
        <v>134.8</v>
      </c>
      <c r="U178" s="3">
        <v>141.8</v>
      </c>
      <c r="V178" s="69">
        <f t="shared" si="11"/>
        <v>419.6</v>
      </c>
      <c r="W178" s="3">
        <v>138.6</v>
      </c>
      <c r="X178" s="3">
        <v>134.4</v>
      </c>
      <c r="Y178" s="3">
        <v>135.3</v>
      </c>
      <c r="Z178" s="3">
        <f t="shared" si="12"/>
        <v>408.3</v>
      </c>
      <c r="AA178" s="3">
        <v>118.3</v>
      </c>
      <c r="AB178" s="3">
        <v>126.8</v>
      </c>
      <c r="AC178" s="3">
        <v>132.6</v>
      </c>
      <c r="AD178" s="68">
        <f t="shared" si="13"/>
        <v>259.4</v>
      </c>
      <c r="AE178" s="3">
        <v>138.6</v>
      </c>
      <c r="AF178" s="3">
        <v>128.9</v>
      </c>
      <c r="AG178" s="3">
        <v>128.4</v>
      </c>
      <c r="AH178" s="3">
        <v>137.6</v>
      </c>
      <c r="AI178" s="3">
        <f t="shared" si="14"/>
        <v>3700.5</v>
      </c>
    </row>
    <row r="179" spans="1:35">
      <c r="A179" s="3" t="s">
        <v>14</v>
      </c>
      <c r="B179" s="3">
        <v>2017</v>
      </c>
      <c r="C179" s="3" t="s">
        <v>37</v>
      </c>
      <c r="D179" s="3">
        <v>136.4</v>
      </c>
      <c r="E179" s="3">
        <v>143.7</v>
      </c>
      <c r="F179" s="3">
        <v>144.8</v>
      </c>
      <c r="G179" s="3">
        <v>141.9</v>
      </c>
      <c r="H179" s="3">
        <v>123.1</v>
      </c>
      <c r="I179" s="3">
        <v>147.2</v>
      </c>
      <c r="J179" s="3">
        <v>161</v>
      </c>
      <c r="K179" s="3">
        <v>133.8</v>
      </c>
      <c r="L179" s="3">
        <v>121.9</v>
      </c>
      <c r="M179" s="3">
        <v>135.8</v>
      </c>
      <c r="N179" s="3">
        <v>131.1</v>
      </c>
      <c r="O179" s="3">
        <v>151.4</v>
      </c>
      <c r="P179" s="3">
        <v>141.5</v>
      </c>
      <c r="Q179" s="68">
        <f t="shared" si="10"/>
        <v>1813.6</v>
      </c>
      <c r="R179" s="3">
        <v>153.2</v>
      </c>
      <c r="S179" s="3">
        <v>148</v>
      </c>
      <c r="T179" s="3">
        <v>141.9</v>
      </c>
      <c r="U179" s="3">
        <v>147.2</v>
      </c>
      <c r="V179" s="69">
        <f t="shared" si="11"/>
        <v>437.1</v>
      </c>
      <c r="W179" s="75">
        <v>139.1</v>
      </c>
      <c r="X179" s="3">
        <v>139.5</v>
      </c>
      <c r="Y179" s="3">
        <v>142.6</v>
      </c>
      <c r="Z179" s="3">
        <f t="shared" si="12"/>
        <v>421.2</v>
      </c>
      <c r="AA179" s="3">
        <v>122</v>
      </c>
      <c r="AB179" s="3">
        <v>127.8</v>
      </c>
      <c r="AC179" s="3">
        <v>136.1</v>
      </c>
      <c r="AD179" s="68">
        <f t="shared" si="13"/>
        <v>263.9</v>
      </c>
      <c r="AE179" s="3">
        <v>141.1</v>
      </c>
      <c r="AF179" s="3">
        <v>133.4</v>
      </c>
      <c r="AG179" s="3">
        <v>131.9</v>
      </c>
      <c r="AH179" s="3">
        <v>139.8</v>
      </c>
      <c r="AI179" s="3">
        <f t="shared" si="14"/>
        <v>3757.2</v>
      </c>
    </row>
    <row r="180" spans="1:35">
      <c r="A180" s="3" t="s">
        <v>16</v>
      </c>
      <c r="B180" s="3">
        <v>2017</v>
      </c>
      <c r="C180" s="3" t="s">
        <v>37</v>
      </c>
      <c r="D180" s="3">
        <v>134.4</v>
      </c>
      <c r="E180" s="3">
        <v>142.6</v>
      </c>
      <c r="F180" s="3">
        <v>145.9</v>
      </c>
      <c r="G180" s="3">
        <v>139.5</v>
      </c>
      <c r="H180" s="3">
        <v>115.9</v>
      </c>
      <c r="I180" s="3">
        <v>135</v>
      </c>
      <c r="J180" s="3">
        <v>163.2</v>
      </c>
      <c r="K180" s="3">
        <v>119.8</v>
      </c>
      <c r="L180" s="3">
        <v>120.7</v>
      </c>
      <c r="M180" s="3">
        <v>139.7</v>
      </c>
      <c r="N180" s="3">
        <v>125.7</v>
      </c>
      <c r="O180" s="3">
        <v>146.3</v>
      </c>
      <c r="P180" s="3">
        <v>138.8</v>
      </c>
      <c r="Q180" s="68">
        <f t="shared" si="10"/>
        <v>1767.5</v>
      </c>
      <c r="R180" s="3">
        <v>157</v>
      </c>
      <c r="S180" s="3">
        <v>135.6</v>
      </c>
      <c r="T180" s="3">
        <v>125.6</v>
      </c>
      <c r="U180" s="3">
        <v>134</v>
      </c>
      <c r="V180" s="69">
        <f t="shared" si="11"/>
        <v>395.2</v>
      </c>
      <c r="W180" s="3">
        <v>139.1</v>
      </c>
      <c r="X180" s="3">
        <v>129.3</v>
      </c>
      <c r="Y180" s="3">
        <v>126.8</v>
      </c>
      <c r="Z180" s="3">
        <f t="shared" si="12"/>
        <v>395.2</v>
      </c>
      <c r="AA180" s="3">
        <v>115.3</v>
      </c>
      <c r="AB180" s="3">
        <v>124.6</v>
      </c>
      <c r="AC180" s="3">
        <v>128.2</v>
      </c>
      <c r="AD180" s="68">
        <f t="shared" si="13"/>
        <v>252.8</v>
      </c>
      <c r="AE180" s="3">
        <v>136.7</v>
      </c>
      <c r="AF180" s="3">
        <v>125.6</v>
      </c>
      <c r="AG180" s="3">
        <v>125.1</v>
      </c>
      <c r="AH180" s="3">
        <v>134.1</v>
      </c>
      <c r="AI180" s="3">
        <f t="shared" si="14"/>
        <v>3604.5</v>
      </c>
    </row>
    <row r="181" spans="1:35">
      <c r="A181" s="3" t="s">
        <v>17</v>
      </c>
      <c r="B181" s="3">
        <v>2017</v>
      </c>
      <c r="C181" s="3" t="s">
        <v>37</v>
      </c>
      <c r="D181" s="3">
        <v>135.8</v>
      </c>
      <c r="E181" s="3">
        <v>143.3</v>
      </c>
      <c r="F181" s="3">
        <v>145.2</v>
      </c>
      <c r="G181" s="3">
        <v>141</v>
      </c>
      <c r="H181" s="3">
        <v>120.5</v>
      </c>
      <c r="I181" s="3">
        <v>141.5</v>
      </c>
      <c r="J181" s="3">
        <v>161.7</v>
      </c>
      <c r="K181" s="3">
        <v>129.1</v>
      </c>
      <c r="L181" s="3">
        <v>121.5</v>
      </c>
      <c r="M181" s="3">
        <v>137.1</v>
      </c>
      <c r="N181" s="3">
        <v>128.8</v>
      </c>
      <c r="O181" s="3">
        <v>149</v>
      </c>
      <c r="P181" s="3">
        <v>140.5</v>
      </c>
      <c r="Q181" s="68">
        <f t="shared" si="10"/>
        <v>1795</v>
      </c>
      <c r="R181" s="3">
        <v>154.2</v>
      </c>
      <c r="S181" s="3">
        <v>143.1</v>
      </c>
      <c r="T181" s="3">
        <v>135.1</v>
      </c>
      <c r="U181" s="3">
        <v>142</v>
      </c>
      <c r="V181" s="69">
        <f t="shared" si="11"/>
        <v>420.2</v>
      </c>
      <c r="W181" s="3">
        <v>139.1</v>
      </c>
      <c r="X181" s="3">
        <v>134.7</v>
      </c>
      <c r="Y181" s="3">
        <v>136.6</v>
      </c>
      <c r="Z181" s="3">
        <f t="shared" si="12"/>
        <v>410.4</v>
      </c>
      <c r="AA181" s="3">
        <v>118.5</v>
      </c>
      <c r="AB181" s="3">
        <v>126.5</v>
      </c>
      <c r="AC181" s="3">
        <v>133.1</v>
      </c>
      <c r="AD181" s="68">
        <f t="shared" si="13"/>
        <v>259.6</v>
      </c>
      <c r="AE181" s="3">
        <v>138.5</v>
      </c>
      <c r="AF181" s="3">
        <v>129</v>
      </c>
      <c r="AG181" s="3">
        <v>128.6</v>
      </c>
      <c r="AH181" s="3">
        <v>137.2</v>
      </c>
      <c r="AI181" s="3">
        <f t="shared" si="14"/>
        <v>3691.2</v>
      </c>
    </row>
    <row r="182" spans="1:35">
      <c r="A182" s="3" t="s">
        <v>14</v>
      </c>
      <c r="B182" s="3">
        <v>2018</v>
      </c>
      <c r="C182" s="3" t="s">
        <v>19</v>
      </c>
      <c r="D182" s="3">
        <v>136.6</v>
      </c>
      <c r="E182" s="3">
        <v>144.4</v>
      </c>
      <c r="F182" s="3">
        <v>143.8</v>
      </c>
      <c r="G182" s="3">
        <v>142</v>
      </c>
      <c r="H182" s="3">
        <v>123.2</v>
      </c>
      <c r="I182" s="3">
        <v>147.9</v>
      </c>
      <c r="J182" s="3">
        <v>152.1</v>
      </c>
      <c r="K182" s="3">
        <v>131.8</v>
      </c>
      <c r="L182" s="3">
        <v>119.5</v>
      </c>
      <c r="M182" s="3">
        <v>136</v>
      </c>
      <c r="N182" s="3">
        <v>131.2</v>
      </c>
      <c r="O182" s="3">
        <v>151.8</v>
      </c>
      <c r="P182" s="3">
        <v>140.4</v>
      </c>
      <c r="Q182" s="68">
        <f t="shared" si="10"/>
        <v>1800.7</v>
      </c>
      <c r="R182" s="3">
        <v>153.6</v>
      </c>
      <c r="S182" s="3">
        <v>148.3</v>
      </c>
      <c r="T182" s="3">
        <v>142.3</v>
      </c>
      <c r="U182" s="3">
        <v>147.5</v>
      </c>
      <c r="V182" s="69">
        <f t="shared" si="11"/>
        <v>438.1</v>
      </c>
      <c r="W182" s="75">
        <v>140.4</v>
      </c>
      <c r="X182" s="3">
        <v>139.8</v>
      </c>
      <c r="Y182" s="3">
        <v>142.3</v>
      </c>
      <c r="Z182" s="3">
        <f t="shared" si="12"/>
        <v>422.5</v>
      </c>
      <c r="AA182" s="3">
        <v>122.7</v>
      </c>
      <c r="AB182" s="3">
        <v>128.6</v>
      </c>
      <c r="AC182" s="3">
        <v>136</v>
      </c>
      <c r="AD182" s="68">
        <f t="shared" si="13"/>
        <v>264.6</v>
      </c>
      <c r="AE182" s="3">
        <v>141.6</v>
      </c>
      <c r="AF182" s="3">
        <v>134.3</v>
      </c>
      <c r="AG182" s="3">
        <v>132.3</v>
      </c>
      <c r="AH182" s="3">
        <v>139.3</v>
      </c>
      <c r="AI182" s="3">
        <f t="shared" si="14"/>
        <v>3749.7</v>
      </c>
    </row>
    <row r="183" spans="1:35">
      <c r="A183" s="3" t="s">
        <v>16</v>
      </c>
      <c r="B183" s="3">
        <v>2018</v>
      </c>
      <c r="C183" s="3" t="s">
        <v>19</v>
      </c>
      <c r="D183" s="3">
        <v>134.6</v>
      </c>
      <c r="E183" s="3">
        <v>143.7</v>
      </c>
      <c r="F183" s="3">
        <v>143.6</v>
      </c>
      <c r="G183" s="3">
        <v>139.6</v>
      </c>
      <c r="H183" s="3">
        <v>116.4</v>
      </c>
      <c r="I183" s="3">
        <v>133.8</v>
      </c>
      <c r="J183" s="3">
        <v>150.5</v>
      </c>
      <c r="K183" s="3">
        <v>118.4</v>
      </c>
      <c r="L183" s="3">
        <v>117.3</v>
      </c>
      <c r="M183" s="3">
        <v>140.5</v>
      </c>
      <c r="N183" s="3">
        <v>125.9</v>
      </c>
      <c r="O183" s="3">
        <v>146.8</v>
      </c>
      <c r="P183" s="3">
        <v>137.2</v>
      </c>
      <c r="Q183" s="68">
        <f t="shared" si="10"/>
        <v>1748.3</v>
      </c>
      <c r="R183" s="3">
        <v>157.7</v>
      </c>
      <c r="S183" s="3">
        <v>136</v>
      </c>
      <c r="T183" s="3">
        <v>125.9</v>
      </c>
      <c r="U183" s="3">
        <v>134.4</v>
      </c>
      <c r="V183" s="69">
        <f t="shared" si="11"/>
        <v>396.3</v>
      </c>
      <c r="W183" s="3">
        <v>140.4</v>
      </c>
      <c r="X183" s="3">
        <v>129.5</v>
      </c>
      <c r="Y183" s="3">
        <v>127.3</v>
      </c>
      <c r="Z183" s="3">
        <f t="shared" si="12"/>
        <v>397.2</v>
      </c>
      <c r="AA183" s="3">
        <v>116.3</v>
      </c>
      <c r="AB183" s="3">
        <v>125.5</v>
      </c>
      <c r="AC183" s="3">
        <v>129</v>
      </c>
      <c r="AD183" s="68">
        <f t="shared" si="13"/>
        <v>254.5</v>
      </c>
      <c r="AE183" s="3">
        <v>137.1</v>
      </c>
      <c r="AF183" s="3">
        <v>126.2</v>
      </c>
      <c r="AG183" s="3">
        <v>125.8</v>
      </c>
      <c r="AH183" s="3">
        <v>134.1</v>
      </c>
      <c r="AI183" s="3">
        <f t="shared" si="14"/>
        <v>3593.5</v>
      </c>
    </row>
    <row r="184" spans="1:35">
      <c r="A184" s="3" t="s">
        <v>17</v>
      </c>
      <c r="B184" s="3">
        <v>2018</v>
      </c>
      <c r="C184" s="3" t="s">
        <v>19</v>
      </c>
      <c r="D184" s="3">
        <v>136</v>
      </c>
      <c r="E184" s="3">
        <v>144.2</v>
      </c>
      <c r="F184" s="3">
        <v>143.7</v>
      </c>
      <c r="G184" s="3">
        <v>141.1</v>
      </c>
      <c r="H184" s="3">
        <v>120.7</v>
      </c>
      <c r="I184" s="3">
        <v>141.3</v>
      </c>
      <c r="J184" s="3">
        <v>151.6</v>
      </c>
      <c r="K184" s="3">
        <v>127.3</v>
      </c>
      <c r="L184" s="3">
        <v>118.8</v>
      </c>
      <c r="M184" s="3">
        <v>137.5</v>
      </c>
      <c r="N184" s="3">
        <v>129</v>
      </c>
      <c r="O184" s="3">
        <v>149.5</v>
      </c>
      <c r="P184" s="3">
        <v>139.2</v>
      </c>
      <c r="Q184" s="68">
        <f t="shared" si="10"/>
        <v>1779.9</v>
      </c>
      <c r="R184" s="3">
        <v>154.7</v>
      </c>
      <c r="S184" s="3">
        <v>143.5</v>
      </c>
      <c r="T184" s="3">
        <v>135.5</v>
      </c>
      <c r="U184" s="3">
        <v>142.3</v>
      </c>
      <c r="V184" s="69">
        <f t="shared" si="11"/>
        <v>421.3</v>
      </c>
      <c r="W184" s="3">
        <v>140.4</v>
      </c>
      <c r="X184" s="3">
        <v>134.9</v>
      </c>
      <c r="Y184" s="3">
        <v>136.6</v>
      </c>
      <c r="Z184" s="3">
        <f t="shared" si="12"/>
        <v>411.9</v>
      </c>
      <c r="AA184" s="3">
        <v>119.3</v>
      </c>
      <c r="AB184" s="3">
        <v>127.3</v>
      </c>
      <c r="AC184" s="3">
        <v>133.3</v>
      </c>
      <c r="AD184" s="68">
        <f t="shared" si="13"/>
        <v>260.6</v>
      </c>
      <c r="AE184" s="3">
        <v>139</v>
      </c>
      <c r="AF184" s="3">
        <v>129.7</v>
      </c>
      <c r="AG184" s="3">
        <v>129.1</v>
      </c>
      <c r="AH184" s="3">
        <v>136.9</v>
      </c>
      <c r="AI184" s="3">
        <f t="shared" si="14"/>
        <v>3682.4</v>
      </c>
    </row>
    <row r="185" spans="1:35">
      <c r="A185" s="3" t="s">
        <v>14</v>
      </c>
      <c r="B185" s="3">
        <v>2018</v>
      </c>
      <c r="C185" s="3" t="s">
        <v>20</v>
      </c>
      <c r="D185" s="3">
        <v>136.4</v>
      </c>
      <c r="E185" s="3">
        <v>143.7</v>
      </c>
      <c r="F185" s="3">
        <v>140.6</v>
      </c>
      <c r="G185" s="3">
        <v>141.5</v>
      </c>
      <c r="H185" s="3">
        <v>122.9</v>
      </c>
      <c r="I185" s="3">
        <v>149.4</v>
      </c>
      <c r="J185" s="3">
        <v>142.4</v>
      </c>
      <c r="K185" s="3">
        <v>130.2</v>
      </c>
      <c r="L185" s="3">
        <v>117.9</v>
      </c>
      <c r="M185" s="3">
        <v>135.6</v>
      </c>
      <c r="N185" s="3">
        <v>130.5</v>
      </c>
      <c r="O185" s="3">
        <v>151.7</v>
      </c>
      <c r="P185" s="3">
        <v>138.7</v>
      </c>
      <c r="Q185" s="68">
        <f t="shared" si="10"/>
        <v>1781.5</v>
      </c>
      <c r="R185" s="3">
        <v>153.3</v>
      </c>
      <c r="S185" s="3">
        <v>148.7</v>
      </c>
      <c r="T185" s="3">
        <v>142.4</v>
      </c>
      <c r="U185" s="3">
        <v>147.8</v>
      </c>
      <c r="V185" s="69">
        <f t="shared" si="11"/>
        <v>438.9</v>
      </c>
      <c r="W185" s="75">
        <v>141.3</v>
      </c>
      <c r="X185" s="3">
        <v>139.9</v>
      </c>
      <c r="Y185" s="3">
        <v>142.4</v>
      </c>
      <c r="Z185" s="3">
        <f t="shared" si="12"/>
        <v>423.6</v>
      </c>
      <c r="AA185" s="3">
        <v>123.3</v>
      </c>
      <c r="AB185" s="3">
        <v>128.8</v>
      </c>
      <c r="AC185" s="3">
        <v>136.2</v>
      </c>
      <c r="AD185" s="68">
        <f t="shared" si="13"/>
        <v>265</v>
      </c>
      <c r="AE185" s="3">
        <v>141.5</v>
      </c>
      <c r="AF185" s="3">
        <v>134.3</v>
      </c>
      <c r="AG185" s="3">
        <v>132.5</v>
      </c>
      <c r="AH185" s="3">
        <v>138.5</v>
      </c>
      <c r="AI185" s="3">
        <f t="shared" si="14"/>
        <v>3732.4</v>
      </c>
    </row>
    <row r="186" spans="1:35">
      <c r="A186" s="3" t="s">
        <v>16</v>
      </c>
      <c r="B186" s="3">
        <v>2018</v>
      </c>
      <c r="C186" s="3" t="s">
        <v>20</v>
      </c>
      <c r="D186" s="3">
        <v>134.8</v>
      </c>
      <c r="E186" s="3">
        <v>143</v>
      </c>
      <c r="F186" s="3">
        <v>139.9</v>
      </c>
      <c r="G186" s="3">
        <v>139.9</v>
      </c>
      <c r="H186" s="3">
        <v>116.2</v>
      </c>
      <c r="I186" s="3">
        <v>135.5</v>
      </c>
      <c r="J186" s="3">
        <v>136.9</v>
      </c>
      <c r="K186" s="3">
        <v>117</v>
      </c>
      <c r="L186" s="3">
        <v>115.4</v>
      </c>
      <c r="M186" s="3">
        <v>140.7</v>
      </c>
      <c r="N186" s="3">
        <v>125.9</v>
      </c>
      <c r="O186" s="3">
        <v>147.1</v>
      </c>
      <c r="P186" s="3">
        <v>135.6</v>
      </c>
      <c r="Q186" s="68">
        <f t="shared" si="10"/>
        <v>1727.9</v>
      </c>
      <c r="R186" s="3">
        <v>159.3</v>
      </c>
      <c r="S186" s="3">
        <v>136.3</v>
      </c>
      <c r="T186" s="3">
        <v>126.1</v>
      </c>
      <c r="U186" s="3">
        <v>134.7</v>
      </c>
      <c r="V186" s="69">
        <f t="shared" si="11"/>
        <v>397.1</v>
      </c>
      <c r="W186" s="3">
        <v>141.3</v>
      </c>
      <c r="X186" s="3">
        <v>129.9</v>
      </c>
      <c r="Y186" s="3">
        <v>127.3</v>
      </c>
      <c r="Z186" s="3">
        <f t="shared" si="12"/>
        <v>398.5</v>
      </c>
      <c r="AA186" s="3">
        <v>117.4</v>
      </c>
      <c r="AB186" s="3">
        <v>126.2</v>
      </c>
      <c r="AC186" s="3">
        <v>129.8</v>
      </c>
      <c r="AD186" s="68">
        <f t="shared" si="13"/>
        <v>256</v>
      </c>
      <c r="AE186" s="3">
        <v>137.2</v>
      </c>
      <c r="AF186" s="3">
        <v>126.5</v>
      </c>
      <c r="AG186" s="3">
        <v>126.5</v>
      </c>
      <c r="AH186" s="3">
        <v>134</v>
      </c>
      <c r="AI186" s="3">
        <f t="shared" si="14"/>
        <v>3580.4</v>
      </c>
    </row>
    <row r="187" spans="1:35">
      <c r="A187" s="3" t="s">
        <v>17</v>
      </c>
      <c r="B187" s="3">
        <v>2018</v>
      </c>
      <c r="C187" s="3" t="s">
        <v>20</v>
      </c>
      <c r="D187" s="3">
        <v>135.9</v>
      </c>
      <c r="E187" s="3">
        <v>143.5</v>
      </c>
      <c r="F187" s="3">
        <v>140.3</v>
      </c>
      <c r="G187" s="3">
        <v>140.9</v>
      </c>
      <c r="H187" s="3">
        <v>120.4</v>
      </c>
      <c r="I187" s="3">
        <v>142.9</v>
      </c>
      <c r="J187" s="3">
        <v>140.5</v>
      </c>
      <c r="K187" s="3">
        <v>125.8</v>
      </c>
      <c r="L187" s="3">
        <v>117.1</v>
      </c>
      <c r="M187" s="3">
        <v>137.3</v>
      </c>
      <c r="N187" s="3">
        <v>128.6</v>
      </c>
      <c r="O187" s="3">
        <v>149.6</v>
      </c>
      <c r="P187" s="3">
        <v>137.6</v>
      </c>
      <c r="Q187" s="68">
        <f t="shared" si="10"/>
        <v>1760.4</v>
      </c>
      <c r="R187" s="3">
        <v>154.9</v>
      </c>
      <c r="S187" s="3">
        <v>143.8</v>
      </c>
      <c r="T187" s="3">
        <v>135.6</v>
      </c>
      <c r="U187" s="3">
        <v>142.6</v>
      </c>
      <c r="V187" s="69">
        <f t="shared" si="11"/>
        <v>422</v>
      </c>
      <c r="W187" s="3">
        <v>141.3</v>
      </c>
      <c r="X187" s="3">
        <v>135.2</v>
      </c>
      <c r="Y187" s="3">
        <v>136.7</v>
      </c>
      <c r="Z187" s="3">
        <f t="shared" si="12"/>
        <v>413.2</v>
      </c>
      <c r="AA187" s="3">
        <v>120.2</v>
      </c>
      <c r="AB187" s="3">
        <v>127.7</v>
      </c>
      <c r="AC187" s="3">
        <v>133.8</v>
      </c>
      <c r="AD187" s="68">
        <f t="shared" si="13"/>
        <v>261.5</v>
      </c>
      <c r="AE187" s="3">
        <v>139</v>
      </c>
      <c r="AF187" s="3">
        <v>129.9</v>
      </c>
      <c r="AG187" s="3">
        <v>129.6</v>
      </c>
      <c r="AH187" s="3">
        <v>136.4</v>
      </c>
      <c r="AI187" s="3">
        <f t="shared" si="14"/>
        <v>3667.1</v>
      </c>
    </row>
    <row r="188" spans="1:35">
      <c r="A188" s="3" t="s">
        <v>14</v>
      </c>
      <c r="B188" s="3">
        <v>2018</v>
      </c>
      <c r="C188" s="3" t="s">
        <v>26</v>
      </c>
      <c r="D188" s="3">
        <v>136.8</v>
      </c>
      <c r="E188" s="3">
        <v>143.8</v>
      </c>
      <c r="F188" s="3">
        <v>140</v>
      </c>
      <c r="G188" s="3">
        <v>142</v>
      </c>
      <c r="H188" s="3">
        <v>123.2</v>
      </c>
      <c r="I188" s="3">
        <v>152.9</v>
      </c>
      <c r="J188" s="3">
        <v>138</v>
      </c>
      <c r="K188" s="3">
        <v>129.3</v>
      </c>
      <c r="L188" s="3">
        <v>117.1</v>
      </c>
      <c r="M188" s="3">
        <v>136.3</v>
      </c>
      <c r="N188" s="3">
        <v>131.2</v>
      </c>
      <c r="O188" s="3">
        <v>152.8</v>
      </c>
      <c r="P188" s="3">
        <v>138.6</v>
      </c>
      <c r="Q188" s="68">
        <f t="shared" si="10"/>
        <v>1782</v>
      </c>
      <c r="R188" s="3">
        <v>155.1</v>
      </c>
      <c r="S188" s="3">
        <v>149.2</v>
      </c>
      <c r="T188" s="3">
        <v>143</v>
      </c>
      <c r="U188" s="3">
        <v>148.3</v>
      </c>
      <c r="V188" s="69">
        <f t="shared" si="11"/>
        <v>440.5</v>
      </c>
      <c r="W188" s="75">
        <v>142</v>
      </c>
      <c r="X188" s="3">
        <v>139.9</v>
      </c>
      <c r="Y188" s="3">
        <v>142.6</v>
      </c>
      <c r="Z188" s="3">
        <f t="shared" si="12"/>
        <v>424.5</v>
      </c>
      <c r="AA188" s="3">
        <v>124.6</v>
      </c>
      <c r="AB188" s="3">
        <v>129.3</v>
      </c>
      <c r="AC188" s="3">
        <v>136.7</v>
      </c>
      <c r="AD188" s="68">
        <f t="shared" si="13"/>
        <v>266</v>
      </c>
      <c r="AE188" s="3">
        <v>142.7</v>
      </c>
      <c r="AF188" s="3">
        <v>135.1</v>
      </c>
      <c r="AG188" s="3">
        <v>133.3</v>
      </c>
      <c r="AH188" s="3">
        <v>138.7</v>
      </c>
      <c r="AI188" s="3">
        <f t="shared" si="14"/>
        <v>3742.5</v>
      </c>
    </row>
    <row r="189" spans="1:35">
      <c r="A189" s="3" t="s">
        <v>16</v>
      </c>
      <c r="B189" s="3">
        <v>2018</v>
      </c>
      <c r="C189" s="3" t="s">
        <v>26</v>
      </c>
      <c r="D189" s="3">
        <v>135</v>
      </c>
      <c r="E189" s="3">
        <v>143.1</v>
      </c>
      <c r="F189" s="3">
        <v>135.5</v>
      </c>
      <c r="G189" s="3">
        <v>139.9</v>
      </c>
      <c r="H189" s="3">
        <v>116.5</v>
      </c>
      <c r="I189" s="3">
        <v>138.5</v>
      </c>
      <c r="J189" s="3">
        <v>128</v>
      </c>
      <c r="K189" s="3">
        <v>115.5</v>
      </c>
      <c r="L189" s="3">
        <v>114.2</v>
      </c>
      <c r="M189" s="3">
        <v>140.7</v>
      </c>
      <c r="N189" s="3">
        <v>126.2</v>
      </c>
      <c r="O189" s="3">
        <v>147.6</v>
      </c>
      <c r="P189" s="3">
        <v>134.8</v>
      </c>
      <c r="Q189" s="68">
        <f t="shared" si="10"/>
        <v>1715.5</v>
      </c>
      <c r="R189" s="3">
        <v>159.7</v>
      </c>
      <c r="S189" s="3">
        <v>136.7</v>
      </c>
      <c r="T189" s="3">
        <v>126.7</v>
      </c>
      <c r="U189" s="3">
        <v>135.2</v>
      </c>
      <c r="V189" s="69">
        <f t="shared" si="11"/>
        <v>398.6</v>
      </c>
      <c r="W189" s="3">
        <v>142</v>
      </c>
      <c r="X189" s="3">
        <v>130.8</v>
      </c>
      <c r="Y189" s="3">
        <v>126.4</v>
      </c>
      <c r="Z189" s="3">
        <f t="shared" si="12"/>
        <v>399.2</v>
      </c>
      <c r="AA189" s="3">
        <v>117.8</v>
      </c>
      <c r="AB189" s="3">
        <v>126.7</v>
      </c>
      <c r="AC189" s="3">
        <v>130.5</v>
      </c>
      <c r="AD189" s="68">
        <f t="shared" si="13"/>
        <v>257.2</v>
      </c>
      <c r="AE189" s="3">
        <v>137.8</v>
      </c>
      <c r="AF189" s="3">
        <v>126.8</v>
      </c>
      <c r="AG189" s="3">
        <v>127.1</v>
      </c>
      <c r="AH189" s="3">
        <v>134</v>
      </c>
      <c r="AI189" s="3">
        <f t="shared" si="14"/>
        <v>3573.7</v>
      </c>
    </row>
    <row r="190" spans="1:35">
      <c r="A190" s="3" t="s">
        <v>17</v>
      </c>
      <c r="B190" s="3">
        <v>2018</v>
      </c>
      <c r="C190" s="3" t="s">
        <v>26</v>
      </c>
      <c r="D190" s="3">
        <v>136.2</v>
      </c>
      <c r="E190" s="3">
        <v>143.6</v>
      </c>
      <c r="F190" s="3">
        <v>138.3</v>
      </c>
      <c r="G190" s="3">
        <v>141.2</v>
      </c>
      <c r="H190" s="3">
        <v>120.7</v>
      </c>
      <c r="I190" s="3">
        <v>146.2</v>
      </c>
      <c r="J190" s="3">
        <v>134.6</v>
      </c>
      <c r="K190" s="3">
        <v>124.6</v>
      </c>
      <c r="L190" s="3">
        <v>116.1</v>
      </c>
      <c r="M190" s="3">
        <v>137.8</v>
      </c>
      <c r="N190" s="3">
        <v>129.1</v>
      </c>
      <c r="O190" s="3">
        <v>150.4</v>
      </c>
      <c r="P190" s="3">
        <v>137.2</v>
      </c>
      <c r="Q190" s="68">
        <f t="shared" si="10"/>
        <v>1756</v>
      </c>
      <c r="R190" s="3">
        <v>156.3</v>
      </c>
      <c r="S190" s="3">
        <v>144.3</v>
      </c>
      <c r="T190" s="3">
        <v>136.2</v>
      </c>
      <c r="U190" s="3">
        <v>143.1</v>
      </c>
      <c r="V190" s="69">
        <f t="shared" si="11"/>
        <v>423.6</v>
      </c>
      <c r="W190" s="3">
        <v>142</v>
      </c>
      <c r="X190" s="3">
        <v>135.6</v>
      </c>
      <c r="Y190" s="3">
        <v>136.5</v>
      </c>
      <c r="Z190" s="3">
        <f t="shared" si="12"/>
        <v>414.1</v>
      </c>
      <c r="AA190" s="3">
        <v>121</v>
      </c>
      <c r="AB190" s="3">
        <v>128.2</v>
      </c>
      <c r="AC190" s="3">
        <v>134.3</v>
      </c>
      <c r="AD190" s="68">
        <f t="shared" si="13"/>
        <v>262.5</v>
      </c>
      <c r="AE190" s="3">
        <v>139.8</v>
      </c>
      <c r="AF190" s="3">
        <v>130.4</v>
      </c>
      <c r="AG190" s="3">
        <v>130.3</v>
      </c>
      <c r="AH190" s="3">
        <v>136.5</v>
      </c>
      <c r="AI190" s="3">
        <f t="shared" si="14"/>
        <v>3670.5</v>
      </c>
    </row>
    <row r="191" spans="1:35">
      <c r="A191" s="3" t="s">
        <v>14</v>
      </c>
      <c r="B191" s="3">
        <v>2018</v>
      </c>
      <c r="C191" s="3" t="s">
        <v>29</v>
      </c>
      <c r="D191" s="3">
        <v>137.1</v>
      </c>
      <c r="E191" s="3">
        <v>144.5</v>
      </c>
      <c r="F191" s="3">
        <v>135.9</v>
      </c>
      <c r="G191" s="3">
        <v>142.4</v>
      </c>
      <c r="H191" s="3">
        <v>123.5</v>
      </c>
      <c r="I191" s="3">
        <v>156.4</v>
      </c>
      <c r="J191" s="3">
        <v>135.1</v>
      </c>
      <c r="K191" s="3">
        <v>128.4</v>
      </c>
      <c r="L191" s="3">
        <v>115.2</v>
      </c>
      <c r="M191" s="3">
        <v>137.2</v>
      </c>
      <c r="N191" s="3">
        <v>131.9</v>
      </c>
      <c r="O191" s="3">
        <v>153.8</v>
      </c>
      <c r="P191" s="3">
        <v>138.6</v>
      </c>
      <c r="Q191" s="68">
        <f t="shared" si="10"/>
        <v>1780</v>
      </c>
      <c r="R191" s="3">
        <v>156.1</v>
      </c>
      <c r="S191" s="3">
        <v>150.1</v>
      </c>
      <c r="T191" s="3">
        <v>143.3</v>
      </c>
      <c r="U191" s="3">
        <v>149.1</v>
      </c>
      <c r="V191" s="69">
        <f t="shared" si="11"/>
        <v>442.5</v>
      </c>
      <c r="W191" s="75">
        <v>142.9</v>
      </c>
      <c r="X191" s="3">
        <v>140.9</v>
      </c>
      <c r="Y191" s="3">
        <v>143.8</v>
      </c>
      <c r="Z191" s="3">
        <f t="shared" si="12"/>
        <v>427.6</v>
      </c>
      <c r="AA191" s="3">
        <v>125.3</v>
      </c>
      <c r="AB191" s="3">
        <v>130.4</v>
      </c>
      <c r="AC191" s="3">
        <v>137.6</v>
      </c>
      <c r="AD191" s="68">
        <f t="shared" si="13"/>
        <v>268</v>
      </c>
      <c r="AE191" s="3">
        <v>143.7</v>
      </c>
      <c r="AF191" s="3">
        <v>136</v>
      </c>
      <c r="AG191" s="3">
        <v>134.2</v>
      </c>
      <c r="AH191" s="3">
        <v>139.1</v>
      </c>
      <c r="AI191" s="3">
        <f t="shared" si="14"/>
        <v>3752.5</v>
      </c>
    </row>
    <row r="192" spans="1:35">
      <c r="A192" s="3" t="s">
        <v>16</v>
      </c>
      <c r="B192" s="3">
        <v>2018</v>
      </c>
      <c r="C192" s="3" t="s">
        <v>29</v>
      </c>
      <c r="D192" s="3">
        <v>135</v>
      </c>
      <c r="E192" s="3">
        <v>144.3</v>
      </c>
      <c r="F192" s="3">
        <v>130.8</v>
      </c>
      <c r="G192" s="3">
        <v>140.3</v>
      </c>
      <c r="H192" s="3">
        <v>116.6</v>
      </c>
      <c r="I192" s="3">
        <v>150.1</v>
      </c>
      <c r="J192" s="3">
        <v>127.6</v>
      </c>
      <c r="K192" s="3">
        <v>114</v>
      </c>
      <c r="L192" s="3">
        <v>110.6</v>
      </c>
      <c r="M192" s="3">
        <v>140.2</v>
      </c>
      <c r="N192" s="3">
        <v>126.5</v>
      </c>
      <c r="O192" s="3">
        <v>148.3</v>
      </c>
      <c r="P192" s="3">
        <v>135.7</v>
      </c>
      <c r="Q192" s="68">
        <f t="shared" si="10"/>
        <v>1720</v>
      </c>
      <c r="R192" s="3">
        <v>159.2</v>
      </c>
      <c r="S192" s="3">
        <v>137.8</v>
      </c>
      <c r="T192" s="3">
        <v>127.4</v>
      </c>
      <c r="U192" s="3">
        <v>136.2</v>
      </c>
      <c r="V192" s="69">
        <f t="shared" si="11"/>
        <v>401.4</v>
      </c>
      <c r="W192" s="3">
        <v>142.9</v>
      </c>
      <c r="X192" s="3">
        <v>131.8</v>
      </c>
      <c r="Y192" s="3">
        <v>124.6</v>
      </c>
      <c r="Z192" s="3">
        <f t="shared" si="12"/>
        <v>399.3</v>
      </c>
      <c r="AA192" s="3">
        <v>118.9</v>
      </c>
      <c r="AB192" s="3">
        <v>127.6</v>
      </c>
      <c r="AC192" s="3">
        <v>131.3</v>
      </c>
      <c r="AD192" s="68">
        <f t="shared" si="13"/>
        <v>258.9</v>
      </c>
      <c r="AE192" s="3">
        <v>139.7</v>
      </c>
      <c r="AF192" s="3">
        <v>127.6</v>
      </c>
      <c r="AG192" s="3">
        <v>128.2</v>
      </c>
      <c r="AH192" s="3">
        <v>134.8</v>
      </c>
      <c r="AI192" s="3">
        <f t="shared" si="14"/>
        <v>3588</v>
      </c>
    </row>
    <row r="193" spans="1:35">
      <c r="A193" s="3" t="s">
        <v>17</v>
      </c>
      <c r="B193" s="3">
        <v>2018</v>
      </c>
      <c r="C193" s="3" t="s">
        <v>29</v>
      </c>
      <c r="D193" s="3">
        <v>136.4</v>
      </c>
      <c r="E193" s="3">
        <v>144.4</v>
      </c>
      <c r="F193" s="3">
        <v>133.9</v>
      </c>
      <c r="G193" s="3">
        <v>141.6</v>
      </c>
      <c r="H193" s="3">
        <v>121</v>
      </c>
      <c r="I193" s="3">
        <v>153.5</v>
      </c>
      <c r="J193" s="3">
        <v>132.6</v>
      </c>
      <c r="K193" s="3">
        <v>123.5</v>
      </c>
      <c r="L193" s="3">
        <v>113.7</v>
      </c>
      <c r="M193" s="3">
        <v>138.2</v>
      </c>
      <c r="N193" s="3">
        <v>129.6</v>
      </c>
      <c r="O193" s="3">
        <v>151.2</v>
      </c>
      <c r="P193" s="3">
        <v>137.5</v>
      </c>
      <c r="Q193" s="68">
        <f t="shared" si="10"/>
        <v>1757.1</v>
      </c>
      <c r="R193" s="3">
        <v>156.9</v>
      </c>
      <c r="S193" s="3">
        <v>145.3</v>
      </c>
      <c r="T193" s="3">
        <v>136.7</v>
      </c>
      <c r="U193" s="3">
        <v>144</v>
      </c>
      <c r="V193" s="69">
        <f t="shared" si="11"/>
        <v>426</v>
      </c>
      <c r="W193" s="3">
        <v>142.9</v>
      </c>
      <c r="X193" s="3">
        <v>136.6</v>
      </c>
      <c r="Y193" s="3">
        <v>136.5</v>
      </c>
      <c r="Z193" s="3">
        <f t="shared" si="12"/>
        <v>416</v>
      </c>
      <c r="AA193" s="3">
        <v>121.9</v>
      </c>
      <c r="AB193" s="3">
        <v>129.2</v>
      </c>
      <c r="AC193" s="3">
        <v>135.2</v>
      </c>
      <c r="AD193" s="68">
        <f t="shared" si="13"/>
        <v>264.4</v>
      </c>
      <c r="AE193" s="3">
        <v>141.4</v>
      </c>
      <c r="AF193" s="3">
        <v>131.3</v>
      </c>
      <c r="AG193" s="3">
        <v>131.3</v>
      </c>
      <c r="AH193" s="3">
        <v>137.1</v>
      </c>
      <c r="AI193" s="3">
        <f t="shared" si="14"/>
        <v>3683.4</v>
      </c>
    </row>
    <row r="194" spans="1:35">
      <c r="A194" s="3" t="s">
        <v>14</v>
      </c>
      <c r="B194" s="3">
        <v>2018</v>
      </c>
      <c r="C194" s="3" t="s">
        <v>15</v>
      </c>
      <c r="D194" s="3">
        <v>137.4</v>
      </c>
      <c r="E194" s="3">
        <v>145.7</v>
      </c>
      <c r="F194" s="3">
        <v>135.5</v>
      </c>
      <c r="G194" s="3">
        <v>142.9</v>
      </c>
      <c r="H194" s="3">
        <v>123.6</v>
      </c>
      <c r="I194" s="3">
        <v>157.5</v>
      </c>
      <c r="J194" s="3">
        <v>137.8</v>
      </c>
      <c r="K194" s="3">
        <v>127.2</v>
      </c>
      <c r="L194" s="3">
        <v>111.8</v>
      </c>
      <c r="M194" s="3">
        <v>137.4</v>
      </c>
      <c r="N194" s="3">
        <v>132.2</v>
      </c>
      <c r="O194" s="3">
        <v>154.3</v>
      </c>
      <c r="P194" s="3">
        <v>139.1</v>
      </c>
      <c r="Q194" s="68">
        <f t="shared" si="10"/>
        <v>1782.4</v>
      </c>
      <c r="R194" s="3">
        <v>157</v>
      </c>
      <c r="S194" s="3">
        <v>150.8</v>
      </c>
      <c r="T194" s="3">
        <v>144.1</v>
      </c>
      <c r="U194" s="3">
        <v>149.8</v>
      </c>
      <c r="V194" s="69">
        <f t="shared" si="11"/>
        <v>444.7</v>
      </c>
      <c r="W194" s="75">
        <v>143.2</v>
      </c>
      <c r="X194" s="3">
        <v>141.8</v>
      </c>
      <c r="Y194" s="3">
        <v>144.3</v>
      </c>
      <c r="Z194" s="3">
        <f t="shared" si="12"/>
        <v>429.3</v>
      </c>
      <c r="AA194" s="3">
        <v>126.4</v>
      </c>
      <c r="AB194" s="3">
        <v>131.2</v>
      </c>
      <c r="AC194" s="3">
        <v>138.4</v>
      </c>
      <c r="AD194" s="68">
        <f t="shared" si="13"/>
        <v>269.6</v>
      </c>
      <c r="AE194" s="3">
        <v>144.4</v>
      </c>
      <c r="AF194" s="3">
        <v>136.8</v>
      </c>
      <c r="AG194" s="3">
        <v>135.1</v>
      </c>
      <c r="AH194" s="3">
        <v>139.8</v>
      </c>
      <c r="AI194" s="3">
        <f t="shared" si="14"/>
        <v>3765.5</v>
      </c>
    </row>
    <row r="195" spans="1:35">
      <c r="A195" s="3" t="s">
        <v>16</v>
      </c>
      <c r="B195" s="3">
        <v>2018</v>
      </c>
      <c r="C195" s="3" t="s">
        <v>15</v>
      </c>
      <c r="D195" s="3">
        <v>135</v>
      </c>
      <c r="E195" s="3">
        <v>148.2</v>
      </c>
      <c r="F195" s="3">
        <v>130.5</v>
      </c>
      <c r="G195" s="3">
        <v>140.7</v>
      </c>
      <c r="H195" s="3">
        <v>116.4</v>
      </c>
      <c r="I195" s="3">
        <v>151.3</v>
      </c>
      <c r="J195" s="3">
        <v>131.4</v>
      </c>
      <c r="K195" s="3">
        <v>112.8</v>
      </c>
      <c r="L195" s="3">
        <v>105.3</v>
      </c>
      <c r="M195" s="3">
        <v>139.6</v>
      </c>
      <c r="N195" s="3">
        <v>126.6</v>
      </c>
      <c r="O195" s="3">
        <v>148.7</v>
      </c>
      <c r="P195" s="3">
        <v>136.4</v>
      </c>
      <c r="Q195" s="68">
        <f t="shared" ref="Q195:Q258" si="15">SUM(D195:P195)</f>
        <v>1722.9</v>
      </c>
      <c r="R195" s="3">
        <v>160.3</v>
      </c>
      <c r="S195" s="3">
        <v>138.6</v>
      </c>
      <c r="T195" s="3">
        <v>127.9</v>
      </c>
      <c r="U195" s="3">
        <v>137</v>
      </c>
      <c r="V195" s="69">
        <f t="shared" ref="V195:V258" si="16">SUM(S195:U195)</f>
        <v>403.5</v>
      </c>
      <c r="W195" s="3">
        <v>143.2</v>
      </c>
      <c r="X195" s="3">
        <v>132.5</v>
      </c>
      <c r="Y195" s="3">
        <v>124.7</v>
      </c>
      <c r="Z195" s="3">
        <f t="shared" ref="Z195:Z258" si="17">W195+X195+Y195</f>
        <v>400.4</v>
      </c>
      <c r="AA195" s="3">
        <v>119.8</v>
      </c>
      <c r="AB195" s="3">
        <v>128.1</v>
      </c>
      <c r="AC195" s="3">
        <v>132</v>
      </c>
      <c r="AD195" s="68">
        <f t="shared" ref="AD195:AD258" si="18">SUM(AB195:AC195)</f>
        <v>260.1</v>
      </c>
      <c r="AE195" s="3">
        <v>140.4</v>
      </c>
      <c r="AF195" s="3">
        <v>128</v>
      </c>
      <c r="AG195" s="3">
        <v>128.9</v>
      </c>
      <c r="AH195" s="3">
        <v>135.4</v>
      </c>
      <c r="AI195" s="3">
        <f t="shared" ref="AI195:AI258" si="19">SUM(Q195,R195,V195,Z195,AA195,AD195,AE195,AF195,AG195,AH195)</f>
        <v>3599.7</v>
      </c>
    </row>
    <row r="196" spans="1:35">
      <c r="A196" s="3" t="s">
        <v>17</v>
      </c>
      <c r="B196" s="3">
        <v>2018</v>
      </c>
      <c r="C196" s="3" t="s">
        <v>15</v>
      </c>
      <c r="D196" s="3">
        <v>136.6</v>
      </c>
      <c r="E196" s="3">
        <v>146.6</v>
      </c>
      <c r="F196" s="3">
        <v>133.6</v>
      </c>
      <c r="G196" s="3">
        <v>142.1</v>
      </c>
      <c r="H196" s="3">
        <v>121</v>
      </c>
      <c r="I196" s="3">
        <v>154.6</v>
      </c>
      <c r="J196" s="3">
        <v>135.6</v>
      </c>
      <c r="K196" s="3">
        <v>122.3</v>
      </c>
      <c r="L196" s="3">
        <v>109.6</v>
      </c>
      <c r="M196" s="3">
        <v>138.1</v>
      </c>
      <c r="N196" s="3">
        <v>129.9</v>
      </c>
      <c r="O196" s="3">
        <v>151.7</v>
      </c>
      <c r="P196" s="3">
        <v>138.1</v>
      </c>
      <c r="Q196" s="68">
        <f t="shared" si="15"/>
        <v>1759.8</v>
      </c>
      <c r="R196" s="3">
        <v>157.9</v>
      </c>
      <c r="S196" s="3">
        <v>146</v>
      </c>
      <c r="T196" s="3">
        <v>137.4</v>
      </c>
      <c r="U196" s="3">
        <v>144.7</v>
      </c>
      <c r="V196" s="69">
        <f t="shared" si="16"/>
        <v>428.1</v>
      </c>
      <c r="W196" s="3">
        <v>143.2</v>
      </c>
      <c r="X196" s="3">
        <v>137.4</v>
      </c>
      <c r="Y196" s="3">
        <v>136.9</v>
      </c>
      <c r="Z196" s="3">
        <f t="shared" si="17"/>
        <v>417.5</v>
      </c>
      <c r="AA196" s="3">
        <v>122.9</v>
      </c>
      <c r="AB196" s="3">
        <v>129.9</v>
      </c>
      <c r="AC196" s="3">
        <v>136</v>
      </c>
      <c r="AD196" s="68">
        <f t="shared" si="18"/>
        <v>265.9</v>
      </c>
      <c r="AE196" s="3">
        <v>142.1</v>
      </c>
      <c r="AF196" s="3">
        <v>131.8</v>
      </c>
      <c r="AG196" s="3">
        <v>132.1</v>
      </c>
      <c r="AH196" s="3">
        <v>137.8</v>
      </c>
      <c r="AI196" s="3">
        <f t="shared" si="19"/>
        <v>3695.9</v>
      </c>
    </row>
    <row r="197" spans="1:35">
      <c r="A197" s="3" t="s">
        <v>14</v>
      </c>
      <c r="B197" s="3">
        <v>2018</v>
      </c>
      <c r="C197" s="3" t="s">
        <v>30</v>
      </c>
      <c r="D197" s="3">
        <v>137.6</v>
      </c>
      <c r="E197" s="3">
        <v>148.1</v>
      </c>
      <c r="F197" s="3">
        <v>136.7</v>
      </c>
      <c r="G197" s="3">
        <v>143.2</v>
      </c>
      <c r="H197" s="3">
        <v>124</v>
      </c>
      <c r="I197" s="3">
        <v>154.1</v>
      </c>
      <c r="J197" s="3">
        <v>143.5</v>
      </c>
      <c r="K197" s="3">
        <v>126</v>
      </c>
      <c r="L197" s="3">
        <v>112.4</v>
      </c>
      <c r="M197" s="3">
        <v>137.6</v>
      </c>
      <c r="N197" s="3">
        <v>132.8</v>
      </c>
      <c r="O197" s="3">
        <v>154.3</v>
      </c>
      <c r="P197" s="3">
        <v>140</v>
      </c>
      <c r="Q197" s="68">
        <f t="shared" si="15"/>
        <v>1790.3</v>
      </c>
      <c r="R197" s="3">
        <v>157.3</v>
      </c>
      <c r="S197" s="3">
        <v>151.3</v>
      </c>
      <c r="T197" s="3">
        <v>144.7</v>
      </c>
      <c r="U197" s="3">
        <v>150.3</v>
      </c>
      <c r="V197" s="69">
        <f t="shared" si="16"/>
        <v>446.3</v>
      </c>
      <c r="W197" s="75">
        <v>142.5</v>
      </c>
      <c r="X197" s="3">
        <v>142.2</v>
      </c>
      <c r="Y197" s="3">
        <v>145.1</v>
      </c>
      <c r="Z197" s="3">
        <f t="shared" si="17"/>
        <v>429.8</v>
      </c>
      <c r="AA197" s="3">
        <v>127.4</v>
      </c>
      <c r="AB197" s="3">
        <v>131.4</v>
      </c>
      <c r="AC197" s="3">
        <v>138.4</v>
      </c>
      <c r="AD197" s="68">
        <f t="shared" si="18"/>
        <v>269.8</v>
      </c>
      <c r="AE197" s="3">
        <v>145.1</v>
      </c>
      <c r="AF197" s="3">
        <v>137.8</v>
      </c>
      <c r="AG197" s="3">
        <v>135.6</v>
      </c>
      <c r="AH197" s="3">
        <v>140.5</v>
      </c>
      <c r="AI197" s="3">
        <f t="shared" si="19"/>
        <v>3779.9</v>
      </c>
    </row>
    <row r="198" spans="1:35">
      <c r="A198" s="3" t="s">
        <v>16</v>
      </c>
      <c r="B198" s="3">
        <v>2018</v>
      </c>
      <c r="C198" s="3" t="s">
        <v>30</v>
      </c>
      <c r="D198" s="3">
        <v>135.3</v>
      </c>
      <c r="E198" s="3">
        <v>149.7</v>
      </c>
      <c r="F198" s="3">
        <v>133.9</v>
      </c>
      <c r="G198" s="3">
        <v>140.8</v>
      </c>
      <c r="H198" s="3">
        <v>116.6</v>
      </c>
      <c r="I198" s="3">
        <v>152.2</v>
      </c>
      <c r="J198" s="3">
        <v>144</v>
      </c>
      <c r="K198" s="3">
        <v>112.3</v>
      </c>
      <c r="L198" s="3">
        <v>108.4</v>
      </c>
      <c r="M198" s="3">
        <v>140</v>
      </c>
      <c r="N198" s="3">
        <v>126.7</v>
      </c>
      <c r="O198" s="3">
        <v>149</v>
      </c>
      <c r="P198" s="3">
        <v>138.4</v>
      </c>
      <c r="Q198" s="68">
        <f t="shared" si="15"/>
        <v>1747.3</v>
      </c>
      <c r="R198" s="3">
        <v>161</v>
      </c>
      <c r="S198" s="3">
        <v>138.9</v>
      </c>
      <c r="T198" s="3">
        <v>128.7</v>
      </c>
      <c r="U198" s="3">
        <v>137.4</v>
      </c>
      <c r="V198" s="69">
        <f t="shared" si="16"/>
        <v>405</v>
      </c>
      <c r="W198" s="3">
        <v>142.5</v>
      </c>
      <c r="X198" s="3">
        <v>133.1</v>
      </c>
      <c r="Y198" s="3">
        <v>126.5</v>
      </c>
      <c r="Z198" s="3">
        <f t="shared" si="17"/>
        <v>402.1</v>
      </c>
      <c r="AA198" s="3">
        <v>120.4</v>
      </c>
      <c r="AB198" s="3">
        <v>128.2</v>
      </c>
      <c r="AC198" s="3">
        <v>132.6</v>
      </c>
      <c r="AD198" s="68">
        <f t="shared" si="18"/>
        <v>260.8</v>
      </c>
      <c r="AE198" s="3">
        <v>141.2</v>
      </c>
      <c r="AF198" s="3">
        <v>128.5</v>
      </c>
      <c r="AG198" s="3">
        <v>129.5</v>
      </c>
      <c r="AH198" s="3">
        <v>136.2</v>
      </c>
      <c r="AI198" s="3">
        <f t="shared" si="19"/>
        <v>3632</v>
      </c>
    </row>
    <row r="199" spans="1:35">
      <c r="A199" s="3" t="s">
        <v>17</v>
      </c>
      <c r="B199" s="3">
        <v>2018</v>
      </c>
      <c r="C199" s="3" t="s">
        <v>30</v>
      </c>
      <c r="D199" s="3">
        <v>136.9</v>
      </c>
      <c r="E199" s="3">
        <v>148.7</v>
      </c>
      <c r="F199" s="3">
        <v>135.6</v>
      </c>
      <c r="G199" s="3">
        <v>142.3</v>
      </c>
      <c r="H199" s="3">
        <v>121.3</v>
      </c>
      <c r="I199" s="3">
        <v>153.2</v>
      </c>
      <c r="J199" s="3">
        <v>143.7</v>
      </c>
      <c r="K199" s="3">
        <v>121.4</v>
      </c>
      <c r="L199" s="3">
        <v>111.1</v>
      </c>
      <c r="M199" s="3">
        <v>138.4</v>
      </c>
      <c r="N199" s="3">
        <v>130.3</v>
      </c>
      <c r="O199" s="3">
        <v>151.8</v>
      </c>
      <c r="P199" s="3">
        <v>139.4</v>
      </c>
      <c r="Q199" s="68">
        <f t="shared" si="15"/>
        <v>1774.1</v>
      </c>
      <c r="R199" s="3">
        <v>158.3</v>
      </c>
      <c r="S199" s="3">
        <v>146.4</v>
      </c>
      <c r="T199" s="3">
        <v>138.1</v>
      </c>
      <c r="U199" s="3">
        <v>145.2</v>
      </c>
      <c r="V199" s="69">
        <f t="shared" si="16"/>
        <v>429.7</v>
      </c>
      <c r="W199" s="3">
        <v>142.5</v>
      </c>
      <c r="X199" s="3">
        <v>137.9</v>
      </c>
      <c r="Y199" s="3">
        <v>138.1</v>
      </c>
      <c r="Z199" s="3">
        <f t="shared" si="17"/>
        <v>418.5</v>
      </c>
      <c r="AA199" s="3">
        <v>123.7</v>
      </c>
      <c r="AB199" s="3">
        <v>130.1</v>
      </c>
      <c r="AC199" s="3">
        <v>136.2</v>
      </c>
      <c r="AD199" s="68">
        <f t="shared" si="18"/>
        <v>266.3</v>
      </c>
      <c r="AE199" s="3">
        <v>142.8</v>
      </c>
      <c r="AF199" s="3">
        <v>132.6</v>
      </c>
      <c r="AG199" s="3">
        <v>132.6</v>
      </c>
      <c r="AH199" s="3">
        <v>138.5</v>
      </c>
      <c r="AI199" s="3">
        <f t="shared" si="19"/>
        <v>3717.1</v>
      </c>
    </row>
    <row r="200" spans="1:35">
      <c r="A200" s="3" t="s">
        <v>14</v>
      </c>
      <c r="B200" s="3">
        <v>2018</v>
      </c>
      <c r="C200" s="3" t="s">
        <v>31</v>
      </c>
      <c r="D200" s="3">
        <v>138.4</v>
      </c>
      <c r="E200" s="3">
        <v>149.3</v>
      </c>
      <c r="F200" s="3">
        <v>139.3</v>
      </c>
      <c r="G200" s="3">
        <v>143.4</v>
      </c>
      <c r="H200" s="3">
        <v>124.1</v>
      </c>
      <c r="I200" s="3">
        <v>153.3</v>
      </c>
      <c r="J200" s="3">
        <v>154.2</v>
      </c>
      <c r="K200" s="3">
        <v>126.4</v>
      </c>
      <c r="L200" s="3">
        <v>114.3</v>
      </c>
      <c r="M200" s="3">
        <v>138.2</v>
      </c>
      <c r="N200" s="3">
        <v>132.8</v>
      </c>
      <c r="O200" s="3">
        <v>154.8</v>
      </c>
      <c r="P200" s="3">
        <v>142</v>
      </c>
      <c r="Q200" s="68">
        <f t="shared" si="15"/>
        <v>1810.5</v>
      </c>
      <c r="R200" s="3">
        <v>156.1</v>
      </c>
      <c r="S200" s="3">
        <v>151.5</v>
      </c>
      <c r="T200" s="3">
        <v>145.1</v>
      </c>
      <c r="U200" s="3">
        <v>150.6</v>
      </c>
      <c r="V200" s="69">
        <f t="shared" si="16"/>
        <v>447.2</v>
      </c>
      <c r="W200" s="75">
        <v>143.6</v>
      </c>
      <c r="X200" s="3">
        <v>143.1</v>
      </c>
      <c r="Y200" s="3">
        <v>146.8</v>
      </c>
      <c r="Z200" s="3">
        <f t="shared" si="17"/>
        <v>433.5</v>
      </c>
      <c r="AA200" s="3">
        <v>127.5</v>
      </c>
      <c r="AB200" s="3">
        <v>131.4</v>
      </c>
      <c r="AC200" s="3">
        <v>139</v>
      </c>
      <c r="AD200" s="68">
        <f t="shared" si="18"/>
        <v>270.4</v>
      </c>
      <c r="AE200" s="3">
        <v>145.8</v>
      </c>
      <c r="AF200" s="3">
        <v>138.4</v>
      </c>
      <c r="AG200" s="3">
        <v>136</v>
      </c>
      <c r="AH200" s="3">
        <v>141.8</v>
      </c>
      <c r="AI200" s="3">
        <f t="shared" si="19"/>
        <v>3807.2</v>
      </c>
    </row>
    <row r="201" spans="1:35">
      <c r="A201" s="3" t="s">
        <v>16</v>
      </c>
      <c r="B201" s="3">
        <v>2018</v>
      </c>
      <c r="C201" s="3" t="s">
        <v>31</v>
      </c>
      <c r="D201" s="3">
        <v>135.6</v>
      </c>
      <c r="E201" s="3">
        <v>148.6</v>
      </c>
      <c r="F201" s="3">
        <v>139.1</v>
      </c>
      <c r="G201" s="3">
        <v>141</v>
      </c>
      <c r="H201" s="3">
        <v>116.7</v>
      </c>
      <c r="I201" s="3">
        <v>149.7</v>
      </c>
      <c r="J201" s="3">
        <v>159.2</v>
      </c>
      <c r="K201" s="3">
        <v>112.6</v>
      </c>
      <c r="L201" s="3">
        <v>111.8</v>
      </c>
      <c r="M201" s="3">
        <v>140.3</v>
      </c>
      <c r="N201" s="3">
        <v>126.8</v>
      </c>
      <c r="O201" s="3">
        <v>149.4</v>
      </c>
      <c r="P201" s="3">
        <v>140.3</v>
      </c>
      <c r="Q201" s="68">
        <f t="shared" si="15"/>
        <v>1771.1</v>
      </c>
      <c r="R201" s="3">
        <v>161.4</v>
      </c>
      <c r="S201" s="3">
        <v>139.6</v>
      </c>
      <c r="T201" s="3">
        <v>128.9</v>
      </c>
      <c r="U201" s="3">
        <v>137.9</v>
      </c>
      <c r="V201" s="69">
        <f t="shared" si="16"/>
        <v>406.4</v>
      </c>
      <c r="W201" s="3">
        <v>143.6</v>
      </c>
      <c r="X201" s="3">
        <v>133.6</v>
      </c>
      <c r="Y201" s="3">
        <v>128.1</v>
      </c>
      <c r="Z201" s="3">
        <f t="shared" si="17"/>
        <v>405.3</v>
      </c>
      <c r="AA201" s="3">
        <v>120.1</v>
      </c>
      <c r="AB201" s="3">
        <v>128.2</v>
      </c>
      <c r="AC201" s="3">
        <v>133.6</v>
      </c>
      <c r="AD201" s="68">
        <f t="shared" si="18"/>
        <v>261.8</v>
      </c>
      <c r="AE201" s="3">
        <v>144</v>
      </c>
      <c r="AF201" s="3">
        <v>129</v>
      </c>
      <c r="AG201" s="3">
        <v>130.2</v>
      </c>
      <c r="AH201" s="3">
        <v>137.5</v>
      </c>
      <c r="AI201" s="3">
        <f t="shared" si="19"/>
        <v>3666.8</v>
      </c>
    </row>
    <row r="202" spans="1:35">
      <c r="A202" s="3" t="s">
        <v>17</v>
      </c>
      <c r="B202" s="3">
        <v>2018</v>
      </c>
      <c r="C202" s="3" t="s">
        <v>31</v>
      </c>
      <c r="D202" s="3">
        <v>137.5</v>
      </c>
      <c r="E202" s="3">
        <v>149.1</v>
      </c>
      <c r="F202" s="3">
        <v>139.2</v>
      </c>
      <c r="G202" s="3">
        <v>142.5</v>
      </c>
      <c r="H202" s="3">
        <v>121.4</v>
      </c>
      <c r="I202" s="3">
        <v>151.6</v>
      </c>
      <c r="J202" s="3">
        <v>155.9</v>
      </c>
      <c r="K202" s="3">
        <v>121.7</v>
      </c>
      <c r="L202" s="3">
        <v>113.5</v>
      </c>
      <c r="M202" s="3">
        <v>138.9</v>
      </c>
      <c r="N202" s="3">
        <v>130.3</v>
      </c>
      <c r="O202" s="3">
        <v>152.3</v>
      </c>
      <c r="P202" s="3">
        <v>141.4</v>
      </c>
      <c r="Q202" s="68">
        <f t="shared" si="15"/>
        <v>1795.3</v>
      </c>
      <c r="R202" s="3">
        <v>157.5</v>
      </c>
      <c r="S202" s="3">
        <v>146.8</v>
      </c>
      <c r="T202" s="3">
        <v>138.4</v>
      </c>
      <c r="U202" s="3">
        <v>145.6</v>
      </c>
      <c r="V202" s="69">
        <f t="shared" si="16"/>
        <v>430.8</v>
      </c>
      <c r="W202" s="3">
        <v>143.6</v>
      </c>
      <c r="X202" s="3">
        <v>138.6</v>
      </c>
      <c r="Y202" s="3">
        <v>139.7</v>
      </c>
      <c r="Z202" s="3">
        <f t="shared" si="17"/>
        <v>421.9</v>
      </c>
      <c r="AA202" s="3">
        <v>123.6</v>
      </c>
      <c r="AB202" s="3">
        <v>130.1</v>
      </c>
      <c r="AC202" s="3">
        <v>137</v>
      </c>
      <c r="AD202" s="68">
        <f t="shared" si="18"/>
        <v>267.1</v>
      </c>
      <c r="AE202" s="3">
        <v>144.7</v>
      </c>
      <c r="AF202" s="3">
        <v>133.1</v>
      </c>
      <c r="AG202" s="3">
        <v>133.2</v>
      </c>
      <c r="AH202" s="3">
        <v>139.8</v>
      </c>
      <c r="AI202" s="3">
        <f t="shared" si="19"/>
        <v>3747</v>
      </c>
    </row>
    <row r="203" spans="1:35">
      <c r="A203" s="3" t="s">
        <v>14</v>
      </c>
      <c r="B203" s="3">
        <v>2018</v>
      </c>
      <c r="C203" s="3" t="s">
        <v>32</v>
      </c>
      <c r="D203" s="3">
        <v>139.2</v>
      </c>
      <c r="E203" s="3">
        <v>148.8</v>
      </c>
      <c r="F203" s="3">
        <v>139.1</v>
      </c>
      <c r="G203" s="3">
        <v>143.5</v>
      </c>
      <c r="H203" s="3">
        <v>125</v>
      </c>
      <c r="I203" s="3">
        <v>154.4</v>
      </c>
      <c r="J203" s="3">
        <v>156.3</v>
      </c>
      <c r="K203" s="3">
        <v>126.8</v>
      </c>
      <c r="L203" s="3">
        <v>115.4</v>
      </c>
      <c r="M203" s="3">
        <v>138.6</v>
      </c>
      <c r="N203" s="3">
        <v>133.8</v>
      </c>
      <c r="O203" s="3">
        <v>155.2</v>
      </c>
      <c r="P203" s="3">
        <v>142.7</v>
      </c>
      <c r="Q203" s="68">
        <f t="shared" si="15"/>
        <v>1818.8</v>
      </c>
      <c r="R203" s="3">
        <v>156.4</v>
      </c>
      <c r="S203" s="3">
        <v>152.1</v>
      </c>
      <c r="T203" s="3">
        <v>145.8</v>
      </c>
      <c r="U203" s="3">
        <v>151.3</v>
      </c>
      <c r="V203" s="69">
        <f t="shared" si="16"/>
        <v>449.2</v>
      </c>
      <c r="W203" s="75">
        <v>144.6</v>
      </c>
      <c r="X203" s="3">
        <v>143.8</v>
      </c>
      <c r="Y203" s="3">
        <v>147.7</v>
      </c>
      <c r="Z203" s="3">
        <f t="shared" si="17"/>
        <v>436.1</v>
      </c>
      <c r="AA203" s="3">
        <v>128.3</v>
      </c>
      <c r="AB203" s="3">
        <v>131.3</v>
      </c>
      <c r="AC203" s="3">
        <v>139.4</v>
      </c>
      <c r="AD203" s="68">
        <f t="shared" si="18"/>
        <v>270.7</v>
      </c>
      <c r="AE203" s="3">
        <v>146.9</v>
      </c>
      <c r="AF203" s="3">
        <v>138.6</v>
      </c>
      <c r="AG203" s="3">
        <v>136.6</v>
      </c>
      <c r="AH203" s="3">
        <v>142.5</v>
      </c>
      <c r="AI203" s="3">
        <f t="shared" si="19"/>
        <v>3824.1</v>
      </c>
    </row>
    <row r="204" spans="1:35">
      <c r="A204" s="3" t="s">
        <v>16</v>
      </c>
      <c r="B204" s="3">
        <v>2018</v>
      </c>
      <c r="C204" s="3" t="s">
        <v>32</v>
      </c>
      <c r="D204" s="3">
        <v>136.5</v>
      </c>
      <c r="E204" s="3">
        <v>146.4</v>
      </c>
      <c r="F204" s="3">
        <v>136.6</v>
      </c>
      <c r="G204" s="3">
        <v>141.2</v>
      </c>
      <c r="H204" s="3">
        <v>117.4</v>
      </c>
      <c r="I204" s="3">
        <v>146.3</v>
      </c>
      <c r="J204" s="3">
        <v>157.3</v>
      </c>
      <c r="K204" s="3">
        <v>113.6</v>
      </c>
      <c r="L204" s="3">
        <v>113.3</v>
      </c>
      <c r="M204" s="3">
        <v>141.1</v>
      </c>
      <c r="N204" s="3">
        <v>127.4</v>
      </c>
      <c r="O204" s="3">
        <v>150.4</v>
      </c>
      <c r="P204" s="3">
        <v>140.1</v>
      </c>
      <c r="Q204" s="68">
        <f t="shared" si="15"/>
        <v>1767.6</v>
      </c>
      <c r="R204" s="3">
        <v>162.1</v>
      </c>
      <c r="S204" s="3">
        <v>140</v>
      </c>
      <c r="T204" s="3">
        <v>129</v>
      </c>
      <c r="U204" s="3">
        <v>138.3</v>
      </c>
      <c r="V204" s="69">
        <f t="shared" si="16"/>
        <v>407.3</v>
      </c>
      <c r="W204" s="3">
        <v>144.6</v>
      </c>
      <c r="X204" s="3">
        <v>134.4</v>
      </c>
      <c r="Y204" s="3">
        <v>129.8</v>
      </c>
      <c r="Z204" s="3">
        <f t="shared" si="17"/>
        <v>408.8</v>
      </c>
      <c r="AA204" s="3">
        <v>120.7</v>
      </c>
      <c r="AB204" s="3">
        <v>128.3</v>
      </c>
      <c r="AC204" s="3">
        <v>134.9</v>
      </c>
      <c r="AD204" s="68">
        <f t="shared" si="18"/>
        <v>263.2</v>
      </c>
      <c r="AE204" s="3">
        <v>145.3</v>
      </c>
      <c r="AF204" s="3">
        <v>129.8</v>
      </c>
      <c r="AG204" s="3">
        <v>131</v>
      </c>
      <c r="AH204" s="3">
        <v>138</v>
      </c>
      <c r="AI204" s="3">
        <f t="shared" si="19"/>
        <v>3673.8</v>
      </c>
    </row>
    <row r="205" spans="1:35">
      <c r="A205" s="3" t="s">
        <v>17</v>
      </c>
      <c r="B205" s="3">
        <v>2018</v>
      </c>
      <c r="C205" s="3" t="s">
        <v>32</v>
      </c>
      <c r="D205" s="3">
        <v>138.3</v>
      </c>
      <c r="E205" s="3">
        <v>148</v>
      </c>
      <c r="F205" s="3">
        <v>138.1</v>
      </c>
      <c r="G205" s="3">
        <v>142.6</v>
      </c>
      <c r="H205" s="3">
        <v>122.2</v>
      </c>
      <c r="I205" s="3">
        <v>150.6</v>
      </c>
      <c r="J205" s="3">
        <v>156.6</v>
      </c>
      <c r="K205" s="3">
        <v>122.4</v>
      </c>
      <c r="L205" s="3">
        <v>114.7</v>
      </c>
      <c r="M205" s="3">
        <v>139.4</v>
      </c>
      <c r="N205" s="3">
        <v>131.1</v>
      </c>
      <c r="O205" s="3">
        <v>153</v>
      </c>
      <c r="P205" s="3">
        <v>141.7</v>
      </c>
      <c r="Q205" s="68">
        <f t="shared" si="15"/>
        <v>1798.7</v>
      </c>
      <c r="R205" s="3">
        <v>157.9</v>
      </c>
      <c r="S205" s="3">
        <v>147.3</v>
      </c>
      <c r="T205" s="3">
        <v>138.8</v>
      </c>
      <c r="U205" s="3">
        <v>146.1</v>
      </c>
      <c r="V205" s="69">
        <f t="shared" si="16"/>
        <v>432.2</v>
      </c>
      <c r="W205" s="3">
        <v>144.6</v>
      </c>
      <c r="X205" s="3">
        <v>139.4</v>
      </c>
      <c r="Y205" s="3">
        <v>140.9</v>
      </c>
      <c r="Z205" s="3">
        <f t="shared" si="17"/>
        <v>424.9</v>
      </c>
      <c r="AA205" s="3">
        <v>124.3</v>
      </c>
      <c r="AB205" s="3">
        <v>130.1</v>
      </c>
      <c r="AC205" s="3">
        <v>137.7</v>
      </c>
      <c r="AD205" s="68">
        <f t="shared" si="18"/>
        <v>267.8</v>
      </c>
      <c r="AE205" s="3">
        <v>146</v>
      </c>
      <c r="AF205" s="3">
        <v>133.6</v>
      </c>
      <c r="AG205" s="3">
        <v>133.9</v>
      </c>
      <c r="AH205" s="3">
        <v>140.4</v>
      </c>
      <c r="AI205" s="3">
        <f t="shared" si="19"/>
        <v>3759.7</v>
      </c>
    </row>
    <row r="206" spans="1:35">
      <c r="A206" s="3" t="s">
        <v>14</v>
      </c>
      <c r="B206" s="3">
        <v>2018</v>
      </c>
      <c r="C206" s="3" t="s">
        <v>33</v>
      </c>
      <c r="D206" s="3">
        <v>139.4</v>
      </c>
      <c r="E206" s="3">
        <v>147.2</v>
      </c>
      <c r="F206" s="3">
        <v>136.6</v>
      </c>
      <c r="G206" s="3">
        <v>143.7</v>
      </c>
      <c r="H206" s="3">
        <v>124.6</v>
      </c>
      <c r="I206" s="3">
        <v>150.1</v>
      </c>
      <c r="J206" s="3">
        <v>149.4</v>
      </c>
      <c r="K206" s="3">
        <v>125.4</v>
      </c>
      <c r="L206" s="3">
        <v>114.4</v>
      </c>
      <c r="M206" s="3">
        <v>138.7</v>
      </c>
      <c r="N206" s="3">
        <v>133.1</v>
      </c>
      <c r="O206" s="3">
        <v>155.9</v>
      </c>
      <c r="P206" s="3">
        <v>141.3</v>
      </c>
      <c r="Q206" s="68">
        <f t="shared" si="15"/>
        <v>1799.8</v>
      </c>
      <c r="R206" s="3">
        <v>157.7</v>
      </c>
      <c r="S206" s="3">
        <v>152.1</v>
      </c>
      <c r="T206" s="3">
        <v>146.1</v>
      </c>
      <c r="U206" s="3">
        <v>151.3</v>
      </c>
      <c r="V206" s="69">
        <f t="shared" si="16"/>
        <v>449.5</v>
      </c>
      <c r="W206" s="75">
        <v>145.3</v>
      </c>
      <c r="X206" s="3">
        <v>144</v>
      </c>
      <c r="Y206" s="3">
        <v>149</v>
      </c>
      <c r="Z206" s="3">
        <f t="shared" si="17"/>
        <v>438.3</v>
      </c>
      <c r="AA206" s="3">
        <v>129.9</v>
      </c>
      <c r="AB206" s="3">
        <v>132</v>
      </c>
      <c r="AC206" s="3">
        <v>140</v>
      </c>
      <c r="AD206" s="68">
        <f t="shared" si="18"/>
        <v>272</v>
      </c>
      <c r="AE206" s="3">
        <v>147.6</v>
      </c>
      <c r="AF206" s="3">
        <v>140</v>
      </c>
      <c r="AG206" s="3">
        <v>137.4</v>
      </c>
      <c r="AH206" s="3">
        <v>142.1</v>
      </c>
      <c r="AI206" s="3">
        <f t="shared" si="19"/>
        <v>3814.3</v>
      </c>
    </row>
    <row r="207" spans="1:35">
      <c r="A207" s="3" t="s">
        <v>16</v>
      </c>
      <c r="B207" s="3">
        <v>2018</v>
      </c>
      <c r="C207" s="3" t="s">
        <v>33</v>
      </c>
      <c r="D207" s="3">
        <v>137</v>
      </c>
      <c r="E207" s="3">
        <v>143.1</v>
      </c>
      <c r="F207" s="3">
        <v>132.8</v>
      </c>
      <c r="G207" s="3">
        <v>141.5</v>
      </c>
      <c r="H207" s="3">
        <v>117.8</v>
      </c>
      <c r="I207" s="3">
        <v>140</v>
      </c>
      <c r="J207" s="3">
        <v>151.3</v>
      </c>
      <c r="K207" s="3">
        <v>113.5</v>
      </c>
      <c r="L207" s="3">
        <v>112.3</v>
      </c>
      <c r="M207" s="3">
        <v>141.2</v>
      </c>
      <c r="N207" s="3">
        <v>127.7</v>
      </c>
      <c r="O207" s="3">
        <v>151.3</v>
      </c>
      <c r="P207" s="3">
        <v>138.9</v>
      </c>
      <c r="Q207" s="68">
        <f t="shared" si="15"/>
        <v>1748.4</v>
      </c>
      <c r="R207" s="3">
        <v>163.3</v>
      </c>
      <c r="S207" s="3">
        <v>140.8</v>
      </c>
      <c r="T207" s="3">
        <v>129.3</v>
      </c>
      <c r="U207" s="3">
        <v>139.1</v>
      </c>
      <c r="V207" s="69">
        <f t="shared" si="16"/>
        <v>409.2</v>
      </c>
      <c r="W207" s="3">
        <v>145.3</v>
      </c>
      <c r="X207" s="3">
        <v>134.9</v>
      </c>
      <c r="Y207" s="3">
        <v>131.2</v>
      </c>
      <c r="Z207" s="3">
        <f t="shared" si="17"/>
        <v>411.4</v>
      </c>
      <c r="AA207" s="3">
        <v>122.5</v>
      </c>
      <c r="AB207" s="3">
        <v>129.3</v>
      </c>
      <c r="AC207" s="3">
        <v>135.7</v>
      </c>
      <c r="AD207" s="68">
        <f t="shared" si="18"/>
        <v>265</v>
      </c>
      <c r="AE207" s="3">
        <v>145.2</v>
      </c>
      <c r="AF207" s="3">
        <v>130.2</v>
      </c>
      <c r="AG207" s="3">
        <v>131.9</v>
      </c>
      <c r="AH207" s="3">
        <v>138.1</v>
      </c>
      <c r="AI207" s="3">
        <f t="shared" si="19"/>
        <v>3665.2</v>
      </c>
    </row>
    <row r="208" spans="1:35">
      <c r="A208" s="3" t="s">
        <v>17</v>
      </c>
      <c r="B208" s="3">
        <v>2018</v>
      </c>
      <c r="C208" s="3" t="s">
        <v>33</v>
      </c>
      <c r="D208" s="3">
        <v>138.6</v>
      </c>
      <c r="E208" s="3">
        <v>145.8</v>
      </c>
      <c r="F208" s="3">
        <v>135.1</v>
      </c>
      <c r="G208" s="3">
        <v>142.9</v>
      </c>
      <c r="H208" s="3">
        <v>122.1</v>
      </c>
      <c r="I208" s="3">
        <v>145.4</v>
      </c>
      <c r="J208" s="3">
        <v>150</v>
      </c>
      <c r="K208" s="3">
        <v>121.4</v>
      </c>
      <c r="L208" s="3">
        <v>113.7</v>
      </c>
      <c r="M208" s="3">
        <v>139.5</v>
      </c>
      <c r="N208" s="3">
        <v>130.8</v>
      </c>
      <c r="O208" s="3">
        <v>153.8</v>
      </c>
      <c r="P208" s="3">
        <v>140.4</v>
      </c>
      <c r="Q208" s="68">
        <f t="shared" si="15"/>
        <v>1779.5</v>
      </c>
      <c r="R208" s="3">
        <v>159.2</v>
      </c>
      <c r="S208" s="3">
        <v>147.7</v>
      </c>
      <c r="T208" s="3">
        <v>139.1</v>
      </c>
      <c r="U208" s="3">
        <v>146.5</v>
      </c>
      <c r="V208" s="69">
        <f t="shared" si="16"/>
        <v>433.3</v>
      </c>
      <c r="W208" s="3">
        <v>145.3</v>
      </c>
      <c r="X208" s="3">
        <v>139.7</v>
      </c>
      <c r="Y208" s="3">
        <v>142.3</v>
      </c>
      <c r="Z208" s="3">
        <f t="shared" si="17"/>
        <v>427.3</v>
      </c>
      <c r="AA208" s="3">
        <v>126</v>
      </c>
      <c r="AB208" s="3">
        <v>130.9</v>
      </c>
      <c r="AC208" s="3">
        <v>138.4</v>
      </c>
      <c r="AD208" s="68">
        <f t="shared" si="18"/>
        <v>269.3</v>
      </c>
      <c r="AE208" s="3">
        <v>146.2</v>
      </c>
      <c r="AF208" s="3">
        <v>134.5</v>
      </c>
      <c r="AG208" s="3">
        <v>134.7</v>
      </c>
      <c r="AH208" s="3">
        <v>140.2</v>
      </c>
      <c r="AI208" s="3">
        <f t="shared" si="19"/>
        <v>3750.2</v>
      </c>
    </row>
    <row r="209" spans="1:35">
      <c r="A209" s="3" t="s">
        <v>14</v>
      </c>
      <c r="B209" s="3">
        <v>2018</v>
      </c>
      <c r="C209" s="3" t="s">
        <v>34</v>
      </c>
      <c r="D209" s="3">
        <v>139.3</v>
      </c>
      <c r="E209" s="3">
        <v>147.6</v>
      </c>
      <c r="F209" s="3">
        <v>134.6</v>
      </c>
      <c r="G209" s="3">
        <v>141.9</v>
      </c>
      <c r="H209" s="3">
        <v>123.5</v>
      </c>
      <c r="I209" s="3">
        <v>144.5</v>
      </c>
      <c r="J209" s="3">
        <v>147.6</v>
      </c>
      <c r="K209" s="3">
        <v>121.4</v>
      </c>
      <c r="L209" s="3">
        <v>112.3</v>
      </c>
      <c r="M209" s="3">
        <v>139.5</v>
      </c>
      <c r="N209" s="3">
        <v>134.6</v>
      </c>
      <c r="O209" s="3">
        <v>155.2</v>
      </c>
      <c r="P209" s="3">
        <v>140.2</v>
      </c>
      <c r="Q209" s="68">
        <f t="shared" si="15"/>
        <v>1782.2</v>
      </c>
      <c r="R209" s="3">
        <v>159.6</v>
      </c>
      <c r="S209" s="3">
        <v>150.7</v>
      </c>
      <c r="T209" s="3">
        <v>144.5</v>
      </c>
      <c r="U209" s="3">
        <v>149.8</v>
      </c>
      <c r="V209" s="69">
        <f t="shared" si="16"/>
        <v>445</v>
      </c>
      <c r="W209" s="75">
        <v>146.3</v>
      </c>
      <c r="X209" s="3">
        <v>147.5</v>
      </c>
      <c r="Y209" s="3">
        <v>149.7</v>
      </c>
      <c r="Z209" s="3">
        <f t="shared" si="17"/>
        <v>443.5</v>
      </c>
      <c r="AA209" s="3">
        <v>130.8</v>
      </c>
      <c r="AB209" s="3">
        <v>134.4</v>
      </c>
      <c r="AC209" s="3">
        <v>144.8</v>
      </c>
      <c r="AD209" s="68">
        <f t="shared" si="18"/>
        <v>279.2</v>
      </c>
      <c r="AE209" s="3">
        <v>148</v>
      </c>
      <c r="AF209" s="3">
        <v>140.1</v>
      </c>
      <c r="AG209" s="3">
        <v>139.8</v>
      </c>
      <c r="AH209" s="3">
        <v>142.2</v>
      </c>
      <c r="AI209" s="3">
        <f t="shared" si="19"/>
        <v>3810.4</v>
      </c>
    </row>
    <row r="210" spans="1:35">
      <c r="A210" s="3" t="s">
        <v>16</v>
      </c>
      <c r="B210" s="3">
        <v>2018</v>
      </c>
      <c r="C210" s="3" t="s">
        <v>34</v>
      </c>
      <c r="D210" s="3">
        <v>137.6</v>
      </c>
      <c r="E210" s="3">
        <v>144.9</v>
      </c>
      <c r="F210" s="3">
        <v>133.5</v>
      </c>
      <c r="G210" s="3">
        <v>141.5</v>
      </c>
      <c r="H210" s="3">
        <v>118</v>
      </c>
      <c r="I210" s="3">
        <v>139.5</v>
      </c>
      <c r="J210" s="3">
        <v>153</v>
      </c>
      <c r="K210" s="3">
        <v>113.2</v>
      </c>
      <c r="L210" s="3">
        <v>112.8</v>
      </c>
      <c r="M210" s="3">
        <v>141.1</v>
      </c>
      <c r="N210" s="3">
        <v>127.6</v>
      </c>
      <c r="O210" s="3">
        <v>152</v>
      </c>
      <c r="P210" s="3">
        <v>139.4</v>
      </c>
      <c r="Q210" s="68">
        <f t="shared" si="15"/>
        <v>1754.1</v>
      </c>
      <c r="R210" s="3">
        <v>164</v>
      </c>
      <c r="S210" s="3">
        <v>141.5</v>
      </c>
      <c r="T210" s="3">
        <v>129.8</v>
      </c>
      <c r="U210" s="3">
        <v>139.7</v>
      </c>
      <c r="V210" s="69">
        <f t="shared" si="16"/>
        <v>411</v>
      </c>
      <c r="W210" s="3">
        <v>146.3</v>
      </c>
      <c r="X210" s="3">
        <v>135.1</v>
      </c>
      <c r="Y210" s="3">
        <v>133.4</v>
      </c>
      <c r="Z210" s="3">
        <f t="shared" si="17"/>
        <v>414.8</v>
      </c>
      <c r="AA210" s="3">
        <v>123.3</v>
      </c>
      <c r="AB210" s="3">
        <v>130.4</v>
      </c>
      <c r="AC210" s="3">
        <v>136.2</v>
      </c>
      <c r="AD210" s="68">
        <f t="shared" si="18"/>
        <v>266.6</v>
      </c>
      <c r="AE210" s="3">
        <v>145.5</v>
      </c>
      <c r="AF210" s="3">
        <v>130.7</v>
      </c>
      <c r="AG210" s="3">
        <v>132.5</v>
      </c>
      <c r="AH210" s="3">
        <v>138.9</v>
      </c>
      <c r="AI210" s="3">
        <f t="shared" si="19"/>
        <v>3681.4</v>
      </c>
    </row>
    <row r="211" spans="1:35">
      <c r="A211" s="3" t="s">
        <v>17</v>
      </c>
      <c r="B211" s="3">
        <v>2018</v>
      </c>
      <c r="C211" s="3" t="s">
        <v>34</v>
      </c>
      <c r="D211" s="3">
        <v>137.4</v>
      </c>
      <c r="E211" s="3">
        <v>149.5</v>
      </c>
      <c r="F211" s="3">
        <v>137.3</v>
      </c>
      <c r="G211" s="3">
        <v>141.9</v>
      </c>
      <c r="H211" s="3">
        <v>121.1</v>
      </c>
      <c r="I211" s="3">
        <v>142.5</v>
      </c>
      <c r="J211" s="3">
        <v>146.7</v>
      </c>
      <c r="K211" s="3">
        <v>119.1</v>
      </c>
      <c r="L211" s="3">
        <v>111.9</v>
      </c>
      <c r="M211" s="3">
        <v>141</v>
      </c>
      <c r="N211" s="3">
        <v>133.6</v>
      </c>
      <c r="O211" s="3">
        <v>154.5</v>
      </c>
      <c r="P211" s="3">
        <v>139.7</v>
      </c>
      <c r="Q211" s="68">
        <f t="shared" si="15"/>
        <v>1776.2</v>
      </c>
      <c r="R211" s="3">
        <v>162.6</v>
      </c>
      <c r="S211" s="3">
        <v>148</v>
      </c>
      <c r="T211" s="3">
        <v>139.2</v>
      </c>
      <c r="U211" s="3">
        <v>146.8</v>
      </c>
      <c r="V211" s="69">
        <f t="shared" si="16"/>
        <v>434</v>
      </c>
      <c r="W211" s="3">
        <v>146.9</v>
      </c>
      <c r="X211" s="3">
        <v>142.2</v>
      </c>
      <c r="Y211" s="3">
        <v>145.3</v>
      </c>
      <c r="Z211" s="3">
        <f t="shared" si="17"/>
        <v>434.4</v>
      </c>
      <c r="AA211" s="3">
        <v>125.5</v>
      </c>
      <c r="AB211" s="3">
        <v>132</v>
      </c>
      <c r="AC211" s="3">
        <v>142.1</v>
      </c>
      <c r="AD211" s="68">
        <f t="shared" si="18"/>
        <v>274.1</v>
      </c>
      <c r="AE211" s="3">
        <v>147.8</v>
      </c>
      <c r="AF211" s="3">
        <v>136.5</v>
      </c>
      <c r="AG211" s="3">
        <v>136.3</v>
      </c>
      <c r="AH211" s="3">
        <v>140.8</v>
      </c>
      <c r="AI211" s="3">
        <f t="shared" si="19"/>
        <v>3768.2</v>
      </c>
    </row>
    <row r="212" spans="1:35">
      <c r="A212" s="3" t="s">
        <v>14</v>
      </c>
      <c r="B212" s="3">
        <v>2018</v>
      </c>
      <c r="C212" s="3" t="s">
        <v>36</v>
      </c>
      <c r="D212" s="3">
        <v>137.1</v>
      </c>
      <c r="E212" s="3">
        <v>150.8</v>
      </c>
      <c r="F212" s="3">
        <v>136.7</v>
      </c>
      <c r="G212" s="3">
        <v>141.9</v>
      </c>
      <c r="H212" s="3">
        <v>122.8</v>
      </c>
      <c r="I212" s="3">
        <v>143.9</v>
      </c>
      <c r="J212" s="3">
        <v>147.5</v>
      </c>
      <c r="K212" s="3">
        <v>121</v>
      </c>
      <c r="L212" s="3">
        <v>111.6</v>
      </c>
      <c r="M212" s="3">
        <v>140.6</v>
      </c>
      <c r="N212" s="3">
        <v>137.5</v>
      </c>
      <c r="O212" s="3">
        <v>156.1</v>
      </c>
      <c r="P212" s="3">
        <v>140</v>
      </c>
      <c r="Q212" s="68">
        <f t="shared" si="15"/>
        <v>1787.5</v>
      </c>
      <c r="R212" s="3">
        <v>161.9</v>
      </c>
      <c r="S212" s="3">
        <v>151.7</v>
      </c>
      <c r="T212" s="3">
        <v>145.5</v>
      </c>
      <c r="U212" s="3">
        <v>150.8</v>
      </c>
      <c r="V212" s="69">
        <f t="shared" si="16"/>
        <v>448</v>
      </c>
      <c r="W212" s="75">
        <v>146.9</v>
      </c>
      <c r="X212" s="3">
        <v>148</v>
      </c>
      <c r="Y212" s="3">
        <v>150.3</v>
      </c>
      <c r="Z212" s="3">
        <f t="shared" si="17"/>
        <v>445.2</v>
      </c>
      <c r="AA212" s="3">
        <v>130.3</v>
      </c>
      <c r="AB212" s="3">
        <v>133.1</v>
      </c>
      <c r="AC212" s="3">
        <v>145.4</v>
      </c>
      <c r="AD212" s="68">
        <f t="shared" si="18"/>
        <v>278.5</v>
      </c>
      <c r="AE212" s="3">
        <v>150.2</v>
      </c>
      <c r="AF212" s="3">
        <v>143.1</v>
      </c>
      <c r="AG212" s="3">
        <v>140.1</v>
      </c>
      <c r="AH212" s="3">
        <v>142.4</v>
      </c>
      <c r="AI212" s="3">
        <f t="shared" si="19"/>
        <v>3827.2</v>
      </c>
    </row>
    <row r="213" spans="1:35">
      <c r="A213" s="3" t="s">
        <v>16</v>
      </c>
      <c r="B213" s="3">
        <v>2018</v>
      </c>
      <c r="C213" s="3" t="s">
        <v>36</v>
      </c>
      <c r="D213" s="3">
        <v>138.1</v>
      </c>
      <c r="E213" s="3">
        <v>146.3</v>
      </c>
      <c r="F213" s="3">
        <v>137.8</v>
      </c>
      <c r="G213" s="3">
        <v>141.6</v>
      </c>
      <c r="H213" s="3">
        <v>118.1</v>
      </c>
      <c r="I213" s="3">
        <v>141.5</v>
      </c>
      <c r="J213" s="3">
        <v>145.2</v>
      </c>
      <c r="K213" s="3">
        <v>115.3</v>
      </c>
      <c r="L213" s="3">
        <v>112.5</v>
      </c>
      <c r="M213" s="3">
        <v>141.4</v>
      </c>
      <c r="N213" s="3">
        <v>128</v>
      </c>
      <c r="O213" s="3">
        <v>152.6</v>
      </c>
      <c r="P213" s="3">
        <v>139.1</v>
      </c>
      <c r="Q213" s="68">
        <f t="shared" si="15"/>
        <v>1757.5</v>
      </c>
      <c r="R213" s="3">
        <v>164.4</v>
      </c>
      <c r="S213" s="3">
        <v>142.4</v>
      </c>
      <c r="T213" s="3">
        <v>130.2</v>
      </c>
      <c r="U213" s="3">
        <v>140.5</v>
      </c>
      <c r="V213" s="69">
        <f t="shared" si="16"/>
        <v>413.1</v>
      </c>
      <c r="W213" s="3">
        <v>146.9</v>
      </c>
      <c r="X213" s="3">
        <v>135.8</v>
      </c>
      <c r="Y213" s="3">
        <v>136.7</v>
      </c>
      <c r="Z213" s="3">
        <f t="shared" si="17"/>
        <v>419.4</v>
      </c>
      <c r="AA213" s="3">
        <v>121.2</v>
      </c>
      <c r="AB213" s="3">
        <v>130.5</v>
      </c>
      <c r="AC213" s="3">
        <v>136.8</v>
      </c>
      <c r="AD213" s="68">
        <f t="shared" si="18"/>
        <v>267.3</v>
      </c>
      <c r="AE213" s="3">
        <v>146.1</v>
      </c>
      <c r="AF213" s="3">
        <v>131.3</v>
      </c>
      <c r="AG213" s="3">
        <v>132.2</v>
      </c>
      <c r="AH213" s="3">
        <v>139</v>
      </c>
      <c r="AI213" s="3">
        <f t="shared" si="19"/>
        <v>3691.5</v>
      </c>
    </row>
    <row r="214" spans="1:35">
      <c r="A214" s="3" t="s">
        <v>17</v>
      </c>
      <c r="B214" s="3">
        <v>2018</v>
      </c>
      <c r="C214" s="3" t="s">
        <v>36</v>
      </c>
      <c r="D214" s="3">
        <v>137.4</v>
      </c>
      <c r="E214" s="3">
        <v>149.2</v>
      </c>
      <c r="F214" s="3">
        <v>137.1</v>
      </c>
      <c r="G214" s="3">
        <v>141.8</v>
      </c>
      <c r="H214" s="3">
        <v>121.1</v>
      </c>
      <c r="I214" s="3">
        <v>142.8</v>
      </c>
      <c r="J214" s="3">
        <v>146.7</v>
      </c>
      <c r="K214" s="3">
        <v>119.1</v>
      </c>
      <c r="L214" s="3">
        <v>111.9</v>
      </c>
      <c r="M214" s="3">
        <v>140.9</v>
      </c>
      <c r="N214" s="3">
        <v>133.5</v>
      </c>
      <c r="O214" s="3">
        <v>154.5</v>
      </c>
      <c r="P214" s="3">
        <v>139.7</v>
      </c>
      <c r="Q214" s="68">
        <f t="shared" si="15"/>
        <v>1775.7</v>
      </c>
      <c r="R214" s="3">
        <v>162.6</v>
      </c>
      <c r="S214" s="3">
        <v>148</v>
      </c>
      <c r="T214" s="3">
        <v>139.1</v>
      </c>
      <c r="U214" s="3">
        <v>146.7</v>
      </c>
      <c r="V214" s="69">
        <f t="shared" si="16"/>
        <v>433.8</v>
      </c>
      <c r="W214" s="3">
        <v>146.9</v>
      </c>
      <c r="X214" s="3">
        <v>142.2</v>
      </c>
      <c r="Y214" s="3">
        <v>145.1</v>
      </c>
      <c r="Z214" s="3">
        <f t="shared" si="17"/>
        <v>434.2</v>
      </c>
      <c r="AA214" s="3">
        <v>125.5</v>
      </c>
      <c r="AB214" s="3">
        <v>132</v>
      </c>
      <c r="AC214" s="3">
        <v>142.1</v>
      </c>
      <c r="AD214" s="68">
        <f t="shared" si="18"/>
        <v>274.1</v>
      </c>
      <c r="AE214" s="3">
        <v>147.8</v>
      </c>
      <c r="AF214" s="3">
        <v>136.5</v>
      </c>
      <c r="AG214" s="3">
        <v>136.3</v>
      </c>
      <c r="AH214" s="3">
        <v>140.8</v>
      </c>
      <c r="AI214" s="3">
        <f t="shared" si="19"/>
        <v>3767.3</v>
      </c>
    </row>
    <row r="215" spans="1:35">
      <c r="A215" s="3" t="s">
        <v>14</v>
      </c>
      <c r="B215" s="3">
        <v>2018</v>
      </c>
      <c r="C215" s="3" t="s">
        <v>37</v>
      </c>
      <c r="D215" s="3">
        <v>137.1</v>
      </c>
      <c r="E215" s="3">
        <v>151.9</v>
      </c>
      <c r="F215" s="3">
        <v>137.4</v>
      </c>
      <c r="G215" s="3">
        <v>142.4</v>
      </c>
      <c r="H215" s="3">
        <v>124.2</v>
      </c>
      <c r="I215" s="3">
        <v>140.2</v>
      </c>
      <c r="J215" s="3">
        <v>136.6</v>
      </c>
      <c r="K215" s="3">
        <v>120.9</v>
      </c>
      <c r="L215" s="3">
        <v>109.9</v>
      </c>
      <c r="M215" s="3">
        <v>140.2</v>
      </c>
      <c r="N215" s="3">
        <v>137.8</v>
      </c>
      <c r="O215" s="3">
        <v>156</v>
      </c>
      <c r="P215" s="3">
        <v>138.5</v>
      </c>
      <c r="Q215" s="68">
        <f t="shared" si="15"/>
        <v>1773.1</v>
      </c>
      <c r="R215" s="3">
        <v>162.4</v>
      </c>
      <c r="S215" s="3">
        <v>151.6</v>
      </c>
      <c r="T215" s="3">
        <v>145.9</v>
      </c>
      <c r="U215" s="3">
        <v>150.8</v>
      </c>
      <c r="V215" s="69">
        <f t="shared" si="16"/>
        <v>448.3</v>
      </c>
      <c r="W215" s="75">
        <v>146.5</v>
      </c>
      <c r="X215" s="3">
        <v>149.5</v>
      </c>
      <c r="Y215" s="3">
        <v>149</v>
      </c>
      <c r="Z215" s="3">
        <f t="shared" si="17"/>
        <v>445</v>
      </c>
      <c r="AA215" s="3">
        <v>128.9</v>
      </c>
      <c r="AB215" s="3">
        <v>133.2</v>
      </c>
      <c r="AC215" s="3">
        <v>149.6</v>
      </c>
      <c r="AD215" s="68">
        <f t="shared" si="18"/>
        <v>282.8</v>
      </c>
      <c r="AE215" s="3">
        <v>155.1</v>
      </c>
      <c r="AF215" s="3">
        <v>143.3</v>
      </c>
      <c r="AG215" s="3">
        <v>141.6</v>
      </c>
      <c r="AH215" s="3">
        <v>141.9</v>
      </c>
      <c r="AI215" s="3">
        <f t="shared" si="19"/>
        <v>3822.4</v>
      </c>
    </row>
    <row r="216" spans="1:35">
      <c r="A216" s="3" t="s">
        <v>16</v>
      </c>
      <c r="B216" s="3">
        <v>2018</v>
      </c>
      <c r="C216" s="3" t="s">
        <v>37</v>
      </c>
      <c r="D216" s="3">
        <v>138.5</v>
      </c>
      <c r="E216" s="3">
        <v>147.8</v>
      </c>
      <c r="F216" s="3">
        <v>141.1</v>
      </c>
      <c r="G216" s="3">
        <v>141.6</v>
      </c>
      <c r="H216" s="3">
        <v>118.1</v>
      </c>
      <c r="I216" s="3">
        <v>138.5</v>
      </c>
      <c r="J216" s="3">
        <v>132.4</v>
      </c>
      <c r="K216" s="3">
        <v>117.5</v>
      </c>
      <c r="L216" s="3">
        <v>111</v>
      </c>
      <c r="M216" s="3">
        <v>141.5</v>
      </c>
      <c r="N216" s="3">
        <v>128.1</v>
      </c>
      <c r="O216" s="3">
        <v>152.9</v>
      </c>
      <c r="P216" s="3">
        <v>137.6</v>
      </c>
      <c r="Q216" s="68">
        <f t="shared" si="15"/>
        <v>1746.6</v>
      </c>
      <c r="R216" s="3">
        <v>164.6</v>
      </c>
      <c r="S216" s="3">
        <v>142.7</v>
      </c>
      <c r="T216" s="3">
        <v>130.3</v>
      </c>
      <c r="U216" s="3">
        <v>140.8</v>
      </c>
      <c r="V216" s="69">
        <f t="shared" si="16"/>
        <v>413.8</v>
      </c>
      <c r="W216" s="3">
        <v>146.5</v>
      </c>
      <c r="X216" s="3">
        <v>136.2</v>
      </c>
      <c r="Y216" s="3">
        <v>132.4</v>
      </c>
      <c r="Z216" s="3">
        <f t="shared" si="17"/>
        <v>415.1</v>
      </c>
      <c r="AA216" s="3">
        <v>118.8</v>
      </c>
      <c r="AB216" s="3">
        <v>130.8</v>
      </c>
      <c r="AC216" s="3">
        <v>137.3</v>
      </c>
      <c r="AD216" s="68">
        <f t="shared" si="18"/>
        <v>268.1</v>
      </c>
      <c r="AE216" s="3">
        <v>146.5</v>
      </c>
      <c r="AF216" s="3">
        <v>131.7</v>
      </c>
      <c r="AG216" s="3">
        <v>131.7</v>
      </c>
      <c r="AH216" s="3">
        <v>138</v>
      </c>
      <c r="AI216" s="3">
        <f t="shared" si="19"/>
        <v>3674.9</v>
      </c>
    </row>
    <row r="217" spans="1:35">
      <c r="A217" s="3" t="s">
        <v>17</v>
      </c>
      <c r="B217" s="3">
        <v>2018</v>
      </c>
      <c r="C217" s="3" t="s">
        <v>37</v>
      </c>
      <c r="D217" s="3">
        <v>137.5</v>
      </c>
      <c r="E217" s="3">
        <v>150.5</v>
      </c>
      <c r="F217" s="3">
        <v>138.8</v>
      </c>
      <c r="G217" s="3">
        <v>142.1</v>
      </c>
      <c r="H217" s="3">
        <v>122</v>
      </c>
      <c r="I217" s="3">
        <v>139.4</v>
      </c>
      <c r="J217" s="3">
        <v>135.2</v>
      </c>
      <c r="K217" s="3">
        <v>119.8</v>
      </c>
      <c r="L217" s="3">
        <v>110.3</v>
      </c>
      <c r="M217" s="3">
        <v>140.6</v>
      </c>
      <c r="N217" s="3">
        <v>133.8</v>
      </c>
      <c r="O217" s="3">
        <v>154.6</v>
      </c>
      <c r="P217" s="3">
        <v>138.2</v>
      </c>
      <c r="Q217" s="68">
        <f t="shared" si="15"/>
        <v>1762.8</v>
      </c>
      <c r="R217" s="3">
        <v>163</v>
      </c>
      <c r="S217" s="3">
        <v>148.1</v>
      </c>
      <c r="T217" s="3">
        <v>139.4</v>
      </c>
      <c r="U217" s="3">
        <v>146.8</v>
      </c>
      <c r="V217" s="69">
        <f t="shared" si="16"/>
        <v>434.3</v>
      </c>
      <c r="W217" s="3">
        <v>146.5</v>
      </c>
      <c r="X217" s="3">
        <v>143.2</v>
      </c>
      <c r="Y217" s="3">
        <v>142.7</v>
      </c>
      <c r="Z217" s="3">
        <f t="shared" si="17"/>
        <v>432.4</v>
      </c>
      <c r="AA217" s="3">
        <v>123.6</v>
      </c>
      <c r="AB217" s="3">
        <v>132.2</v>
      </c>
      <c r="AC217" s="3">
        <v>144.9</v>
      </c>
      <c r="AD217" s="68">
        <f t="shared" si="18"/>
        <v>277.1</v>
      </c>
      <c r="AE217" s="3">
        <v>150.1</v>
      </c>
      <c r="AF217" s="3">
        <v>136.8</v>
      </c>
      <c r="AG217" s="3">
        <v>136.8</v>
      </c>
      <c r="AH217" s="3">
        <v>140.1</v>
      </c>
      <c r="AI217" s="3">
        <f t="shared" si="19"/>
        <v>3757</v>
      </c>
    </row>
    <row r="218" spans="1:35">
      <c r="A218" s="3" t="s">
        <v>14</v>
      </c>
      <c r="B218" s="3">
        <v>2019</v>
      </c>
      <c r="C218" s="3" t="s">
        <v>19</v>
      </c>
      <c r="D218" s="3">
        <v>136.6</v>
      </c>
      <c r="E218" s="3">
        <v>152.5</v>
      </c>
      <c r="F218" s="3">
        <v>138.2</v>
      </c>
      <c r="G218" s="3">
        <v>142.4</v>
      </c>
      <c r="H218" s="3">
        <v>123.9</v>
      </c>
      <c r="I218" s="3">
        <v>135.5</v>
      </c>
      <c r="J218" s="3">
        <v>131.7</v>
      </c>
      <c r="K218" s="3">
        <v>121.3</v>
      </c>
      <c r="L218" s="3">
        <v>108.4</v>
      </c>
      <c r="M218" s="3">
        <v>138.9</v>
      </c>
      <c r="N218" s="3">
        <v>137</v>
      </c>
      <c r="O218" s="3">
        <v>155.8</v>
      </c>
      <c r="P218" s="3">
        <v>137.4</v>
      </c>
      <c r="Q218" s="68">
        <f t="shared" si="15"/>
        <v>1759.6</v>
      </c>
      <c r="R218" s="3">
        <v>162.7</v>
      </c>
      <c r="S218" s="3">
        <v>150.6</v>
      </c>
      <c r="T218" s="3">
        <v>145.1</v>
      </c>
      <c r="U218" s="3">
        <v>149.9</v>
      </c>
      <c r="V218" s="69">
        <f t="shared" si="16"/>
        <v>445.6</v>
      </c>
      <c r="W218" s="75">
        <v>147.7</v>
      </c>
      <c r="X218" s="3">
        <v>150.1</v>
      </c>
      <c r="Y218" s="3">
        <v>146.2</v>
      </c>
      <c r="Z218" s="3">
        <f t="shared" si="17"/>
        <v>444</v>
      </c>
      <c r="AA218" s="3">
        <v>128.6</v>
      </c>
      <c r="AB218" s="3">
        <v>133.5</v>
      </c>
      <c r="AC218" s="3">
        <v>149.6</v>
      </c>
      <c r="AD218" s="68">
        <f t="shared" si="18"/>
        <v>283.1</v>
      </c>
      <c r="AE218" s="3">
        <v>155.2</v>
      </c>
      <c r="AF218" s="3">
        <v>142.9</v>
      </c>
      <c r="AG218" s="3">
        <v>141.7</v>
      </c>
      <c r="AH218" s="3">
        <v>141</v>
      </c>
      <c r="AI218" s="3">
        <f t="shared" si="19"/>
        <v>3804.4</v>
      </c>
    </row>
    <row r="219" spans="1:35">
      <c r="A219" s="3" t="s">
        <v>16</v>
      </c>
      <c r="B219" s="3">
        <v>2019</v>
      </c>
      <c r="C219" s="3" t="s">
        <v>19</v>
      </c>
      <c r="D219" s="3">
        <v>138.3</v>
      </c>
      <c r="E219" s="3">
        <v>149.4</v>
      </c>
      <c r="F219" s="3">
        <v>143.5</v>
      </c>
      <c r="G219" s="3">
        <v>141.7</v>
      </c>
      <c r="H219" s="3">
        <v>118.1</v>
      </c>
      <c r="I219" s="3">
        <v>135.2</v>
      </c>
      <c r="J219" s="3">
        <v>130.5</v>
      </c>
      <c r="K219" s="3">
        <v>118.2</v>
      </c>
      <c r="L219" s="3">
        <v>110.4</v>
      </c>
      <c r="M219" s="3">
        <v>140.4</v>
      </c>
      <c r="N219" s="3">
        <v>128.1</v>
      </c>
      <c r="O219" s="3">
        <v>153.2</v>
      </c>
      <c r="P219" s="3">
        <v>137.3</v>
      </c>
      <c r="Q219" s="68">
        <f t="shared" si="15"/>
        <v>1744.3</v>
      </c>
      <c r="R219" s="3">
        <v>164.7</v>
      </c>
      <c r="S219" s="3">
        <v>143</v>
      </c>
      <c r="T219" s="3">
        <v>130.4</v>
      </c>
      <c r="U219" s="3">
        <v>141.1</v>
      </c>
      <c r="V219" s="69">
        <f t="shared" si="16"/>
        <v>414.5</v>
      </c>
      <c r="W219" s="3">
        <v>147.7</v>
      </c>
      <c r="X219" s="3">
        <v>136.3</v>
      </c>
      <c r="Y219" s="3">
        <v>128.6</v>
      </c>
      <c r="Z219" s="3">
        <f t="shared" si="17"/>
        <v>412.6</v>
      </c>
      <c r="AA219" s="3">
        <v>118.6</v>
      </c>
      <c r="AB219" s="3">
        <v>131.7</v>
      </c>
      <c r="AC219" s="3">
        <v>137.8</v>
      </c>
      <c r="AD219" s="68">
        <f t="shared" si="18"/>
        <v>269.5</v>
      </c>
      <c r="AE219" s="3">
        <v>146.6</v>
      </c>
      <c r="AF219" s="3">
        <v>131.9</v>
      </c>
      <c r="AG219" s="3">
        <v>131.8</v>
      </c>
      <c r="AH219" s="3">
        <v>138</v>
      </c>
      <c r="AI219" s="3">
        <f t="shared" si="19"/>
        <v>3672.5</v>
      </c>
    </row>
    <row r="220" spans="1:35">
      <c r="A220" s="3" t="s">
        <v>17</v>
      </c>
      <c r="B220" s="3">
        <v>2019</v>
      </c>
      <c r="C220" s="3" t="s">
        <v>19</v>
      </c>
      <c r="D220" s="3">
        <v>137.1</v>
      </c>
      <c r="E220" s="3">
        <v>151.4</v>
      </c>
      <c r="F220" s="3">
        <v>140.2</v>
      </c>
      <c r="G220" s="3">
        <v>142.1</v>
      </c>
      <c r="H220" s="3">
        <v>121.8</v>
      </c>
      <c r="I220" s="3">
        <v>135.4</v>
      </c>
      <c r="J220" s="3">
        <v>131.3</v>
      </c>
      <c r="K220" s="3">
        <v>120.3</v>
      </c>
      <c r="L220" s="3">
        <v>109.1</v>
      </c>
      <c r="M220" s="3">
        <v>139.4</v>
      </c>
      <c r="N220" s="3">
        <v>133.3</v>
      </c>
      <c r="O220" s="3">
        <v>154.6</v>
      </c>
      <c r="P220" s="3">
        <v>137.4</v>
      </c>
      <c r="Q220" s="68">
        <f t="shared" si="15"/>
        <v>1753.4</v>
      </c>
      <c r="R220" s="3">
        <v>163.2</v>
      </c>
      <c r="S220" s="3">
        <v>147.6</v>
      </c>
      <c r="T220" s="3">
        <v>139</v>
      </c>
      <c r="U220" s="3">
        <v>146.4</v>
      </c>
      <c r="V220" s="69">
        <f t="shared" si="16"/>
        <v>433</v>
      </c>
      <c r="W220" s="3">
        <v>147.7</v>
      </c>
      <c r="X220" s="3">
        <v>143.6</v>
      </c>
      <c r="Y220" s="3">
        <v>139.5</v>
      </c>
      <c r="Z220" s="3">
        <f t="shared" si="17"/>
        <v>430.8</v>
      </c>
      <c r="AA220" s="3">
        <v>123.3</v>
      </c>
      <c r="AB220" s="3">
        <v>132.8</v>
      </c>
      <c r="AC220" s="3">
        <v>145.1</v>
      </c>
      <c r="AD220" s="68">
        <f t="shared" si="18"/>
        <v>277.9</v>
      </c>
      <c r="AE220" s="3">
        <v>150.2</v>
      </c>
      <c r="AF220" s="3">
        <v>136.7</v>
      </c>
      <c r="AG220" s="3">
        <v>136.9</v>
      </c>
      <c r="AH220" s="3">
        <v>139.6</v>
      </c>
      <c r="AI220" s="3">
        <f t="shared" si="19"/>
        <v>3745</v>
      </c>
    </row>
    <row r="221" spans="1:35">
      <c r="A221" s="3" t="s">
        <v>14</v>
      </c>
      <c r="B221" s="3">
        <v>2019</v>
      </c>
      <c r="C221" s="3" t="s">
        <v>20</v>
      </c>
      <c r="D221" s="3">
        <v>136.8</v>
      </c>
      <c r="E221" s="3">
        <v>153</v>
      </c>
      <c r="F221" s="3">
        <v>139.1</v>
      </c>
      <c r="G221" s="3">
        <v>142.5</v>
      </c>
      <c r="H221" s="3">
        <v>124.1</v>
      </c>
      <c r="I221" s="3">
        <v>135.8</v>
      </c>
      <c r="J221" s="3">
        <v>128.7</v>
      </c>
      <c r="K221" s="3">
        <v>121.5</v>
      </c>
      <c r="L221" s="3">
        <v>108.3</v>
      </c>
      <c r="M221" s="3">
        <v>139.2</v>
      </c>
      <c r="N221" s="3">
        <v>137.4</v>
      </c>
      <c r="O221" s="3">
        <v>156.2</v>
      </c>
      <c r="P221" s="3">
        <v>137.2</v>
      </c>
      <c r="Q221" s="68">
        <f t="shared" si="15"/>
        <v>1759.8</v>
      </c>
      <c r="R221" s="3">
        <v>162.8</v>
      </c>
      <c r="S221" s="3">
        <v>150.5</v>
      </c>
      <c r="T221" s="3">
        <v>146.1</v>
      </c>
      <c r="U221" s="3">
        <v>149.9</v>
      </c>
      <c r="V221" s="69">
        <f t="shared" si="16"/>
        <v>446.5</v>
      </c>
      <c r="W221" s="75">
        <v>148.5</v>
      </c>
      <c r="X221" s="3">
        <v>150.1</v>
      </c>
      <c r="Y221" s="3">
        <v>145.3</v>
      </c>
      <c r="Z221" s="3">
        <f t="shared" si="17"/>
        <v>443.9</v>
      </c>
      <c r="AA221" s="3">
        <v>129.2</v>
      </c>
      <c r="AB221" s="3">
        <v>134.9</v>
      </c>
      <c r="AC221" s="3">
        <v>149.9</v>
      </c>
      <c r="AD221" s="68">
        <f t="shared" si="18"/>
        <v>284.8</v>
      </c>
      <c r="AE221" s="3">
        <v>155.5</v>
      </c>
      <c r="AF221" s="3">
        <v>143.4</v>
      </c>
      <c r="AG221" s="3">
        <v>142.2</v>
      </c>
      <c r="AH221" s="3">
        <v>141</v>
      </c>
      <c r="AI221" s="3">
        <f t="shared" si="19"/>
        <v>3809.1</v>
      </c>
    </row>
    <row r="222" spans="1:35">
      <c r="A222" s="3" t="s">
        <v>16</v>
      </c>
      <c r="B222" s="3">
        <v>2019</v>
      </c>
      <c r="C222" s="3" t="s">
        <v>20</v>
      </c>
      <c r="D222" s="3">
        <v>139.4</v>
      </c>
      <c r="E222" s="3">
        <v>150.1</v>
      </c>
      <c r="F222" s="3">
        <v>145.3</v>
      </c>
      <c r="G222" s="3">
        <v>141.7</v>
      </c>
      <c r="H222" s="3">
        <v>118.4</v>
      </c>
      <c r="I222" s="3">
        <v>137</v>
      </c>
      <c r="J222" s="3">
        <v>131.6</v>
      </c>
      <c r="K222" s="3">
        <v>119.9</v>
      </c>
      <c r="L222" s="3">
        <v>110.4</v>
      </c>
      <c r="M222" s="3">
        <v>140.8</v>
      </c>
      <c r="N222" s="3">
        <v>128.3</v>
      </c>
      <c r="O222" s="3">
        <v>153.5</v>
      </c>
      <c r="P222" s="3">
        <v>138</v>
      </c>
      <c r="Q222" s="68">
        <f t="shared" si="15"/>
        <v>1754.4</v>
      </c>
      <c r="R222" s="3">
        <v>164.9</v>
      </c>
      <c r="S222" s="3">
        <v>143.3</v>
      </c>
      <c r="T222" s="3">
        <v>130.8</v>
      </c>
      <c r="U222" s="3">
        <v>141.4</v>
      </c>
      <c r="V222" s="69">
        <f t="shared" si="16"/>
        <v>415.5</v>
      </c>
      <c r="W222" s="3">
        <v>148.5</v>
      </c>
      <c r="X222" s="3">
        <v>136.6</v>
      </c>
      <c r="Y222" s="3">
        <v>127.1</v>
      </c>
      <c r="Z222" s="3">
        <f t="shared" si="17"/>
        <v>412.2</v>
      </c>
      <c r="AA222" s="3">
        <v>119.2</v>
      </c>
      <c r="AB222" s="3">
        <v>133</v>
      </c>
      <c r="AC222" s="3">
        <v>138.5</v>
      </c>
      <c r="AD222" s="68">
        <f t="shared" si="18"/>
        <v>271.5</v>
      </c>
      <c r="AE222" s="3">
        <v>146.6</v>
      </c>
      <c r="AF222" s="3">
        <v>132.2</v>
      </c>
      <c r="AG222" s="3">
        <v>132.4</v>
      </c>
      <c r="AH222" s="3">
        <v>138.6</v>
      </c>
      <c r="AI222" s="3">
        <f t="shared" si="19"/>
        <v>3687.5</v>
      </c>
    </row>
    <row r="223" spans="1:35">
      <c r="A223" s="3" t="s">
        <v>17</v>
      </c>
      <c r="B223" s="3">
        <v>2019</v>
      </c>
      <c r="C223" s="3" t="s">
        <v>20</v>
      </c>
      <c r="D223" s="3">
        <v>137.6</v>
      </c>
      <c r="E223" s="3">
        <v>152</v>
      </c>
      <c r="F223" s="3">
        <v>141.5</v>
      </c>
      <c r="G223" s="3">
        <v>142.2</v>
      </c>
      <c r="H223" s="3">
        <v>122</v>
      </c>
      <c r="I223" s="3">
        <v>136.4</v>
      </c>
      <c r="J223" s="3">
        <v>129.7</v>
      </c>
      <c r="K223" s="3">
        <v>121</v>
      </c>
      <c r="L223" s="3">
        <v>109</v>
      </c>
      <c r="M223" s="3">
        <v>139.7</v>
      </c>
      <c r="N223" s="3">
        <v>133.6</v>
      </c>
      <c r="O223" s="3">
        <v>154.9</v>
      </c>
      <c r="P223" s="3">
        <v>137.5</v>
      </c>
      <c r="Q223" s="68">
        <f t="shared" si="15"/>
        <v>1757.1</v>
      </c>
      <c r="R223" s="3">
        <v>163.4</v>
      </c>
      <c r="S223" s="3">
        <v>147.7</v>
      </c>
      <c r="T223" s="3">
        <v>139.7</v>
      </c>
      <c r="U223" s="3">
        <v>146.5</v>
      </c>
      <c r="V223" s="69">
        <f t="shared" si="16"/>
        <v>433.9</v>
      </c>
      <c r="W223" s="3">
        <v>148.5</v>
      </c>
      <c r="X223" s="3">
        <v>143.7</v>
      </c>
      <c r="Y223" s="3">
        <v>138.4</v>
      </c>
      <c r="Z223" s="3">
        <f t="shared" si="17"/>
        <v>430.6</v>
      </c>
      <c r="AA223" s="3">
        <v>123.9</v>
      </c>
      <c r="AB223" s="3">
        <v>134.1</v>
      </c>
      <c r="AC223" s="3">
        <v>145.6</v>
      </c>
      <c r="AD223" s="68">
        <f t="shared" si="18"/>
        <v>279.7</v>
      </c>
      <c r="AE223" s="3">
        <v>150.3</v>
      </c>
      <c r="AF223" s="3">
        <v>137.1</v>
      </c>
      <c r="AG223" s="3">
        <v>137.4</v>
      </c>
      <c r="AH223" s="3">
        <v>139.9</v>
      </c>
      <c r="AI223" s="3">
        <f t="shared" si="19"/>
        <v>3753.3</v>
      </c>
    </row>
    <row r="224" spans="1:35">
      <c r="A224" s="3" t="s">
        <v>14</v>
      </c>
      <c r="B224" s="3">
        <v>2019</v>
      </c>
      <c r="C224" s="3" t="s">
        <v>26</v>
      </c>
      <c r="D224" s="3">
        <v>136.9</v>
      </c>
      <c r="E224" s="3">
        <v>154.1</v>
      </c>
      <c r="F224" s="3">
        <v>138.7</v>
      </c>
      <c r="G224" s="3">
        <v>142.5</v>
      </c>
      <c r="H224" s="3">
        <v>124.1</v>
      </c>
      <c r="I224" s="3">
        <v>136.1</v>
      </c>
      <c r="J224" s="3">
        <v>128.2</v>
      </c>
      <c r="K224" s="3">
        <v>122.3</v>
      </c>
      <c r="L224" s="3">
        <v>108.3</v>
      </c>
      <c r="M224" s="3">
        <v>138.9</v>
      </c>
      <c r="N224" s="3">
        <v>137.4</v>
      </c>
      <c r="O224" s="3">
        <v>156.4</v>
      </c>
      <c r="P224" s="3">
        <v>137.3</v>
      </c>
      <c r="Q224" s="68">
        <f t="shared" si="15"/>
        <v>1761.2</v>
      </c>
      <c r="R224" s="3">
        <v>162.9</v>
      </c>
      <c r="S224" s="3">
        <v>150.8</v>
      </c>
      <c r="T224" s="3">
        <v>146.1</v>
      </c>
      <c r="U224" s="3">
        <v>150.1</v>
      </c>
      <c r="V224" s="69">
        <f t="shared" si="16"/>
        <v>447</v>
      </c>
      <c r="W224" s="75">
        <v>149</v>
      </c>
      <c r="X224" s="3">
        <v>150</v>
      </c>
      <c r="Y224" s="3">
        <v>146.4</v>
      </c>
      <c r="Z224" s="3">
        <f t="shared" si="17"/>
        <v>445.4</v>
      </c>
      <c r="AA224" s="3">
        <v>129.9</v>
      </c>
      <c r="AB224" s="3">
        <v>134</v>
      </c>
      <c r="AC224" s="3">
        <v>150.4</v>
      </c>
      <c r="AD224" s="68">
        <f t="shared" si="18"/>
        <v>284.4</v>
      </c>
      <c r="AE224" s="3">
        <v>155.5</v>
      </c>
      <c r="AF224" s="3">
        <v>143.8</v>
      </c>
      <c r="AG224" s="3">
        <v>142.4</v>
      </c>
      <c r="AH224" s="3">
        <v>141.2</v>
      </c>
      <c r="AI224" s="3">
        <f t="shared" si="19"/>
        <v>3813.7</v>
      </c>
    </row>
    <row r="225" spans="1:35">
      <c r="A225" s="3" t="s">
        <v>16</v>
      </c>
      <c r="B225" s="3">
        <v>2019</v>
      </c>
      <c r="C225" s="3" t="s">
        <v>26</v>
      </c>
      <c r="D225" s="3">
        <v>139.7</v>
      </c>
      <c r="E225" s="3">
        <v>151.1</v>
      </c>
      <c r="F225" s="3">
        <v>142.9</v>
      </c>
      <c r="G225" s="3">
        <v>141.9</v>
      </c>
      <c r="H225" s="3">
        <v>118.4</v>
      </c>
      <c r="I225" s="3">
        <v>139.4</v>
      </c>
      <c r="J225" s="3">
        <v>141.2</v>
      </c>
      <c r="K225" s="3">
        <v>120.7</v>
      </c>
      <c r="L225" s="3">
        <v>110.4</v>
      </c>
      <c r="M225" s="3">
        <v>140.7</v>
      </c>
      <c r="N225" s="3">
        <v>128.5</v>
      </c>
      <c r="O225" s="3">
        <v>153.9</v>
      </c>
      <c r="P225" s="3">
        <v>139.6</v>
      </c>
      <c r="Q225" s="68">
        <f t="shared" si="15"/>
        <v>1768.4</v>
      </c>
      <c r="R225" s="3">
        <v>165.3</v>
      </c>
      <c r="S225" s="3">
        <v>143.5</v>
      </c>
      <c r="T225" s="3">
        <v>131.2</v>
      </c>
      <c r="U225" s="3">
        <v>141.6</v>
      </c>
      <c r="V225" s="69">
        <f t="shared" si="16"/>
        <v>416.3</v>
      </c>
      <c r="W225" s="3">
        <v>149</v>
      </c>
      <c r="X225" s="3">
        <v>136.8</v>
      </c>
      <c r="Y225" s="3">
        <v>128.8</v>
      </c>
      <c r="Z225" s="3">
        <f t="shared" si="17"/>
        <v>414.6</v>
      </c>
      <c r="AA225" s="3">
        <v>119.9</v>
      </c>
      <c r="AB225" s="3">
        <v>132.5</v>
      </c>
      <c r="AC225" s="3">
        <v>139.2</v>
      </c>
      <c r="AD225" s="68">
        <f t="shared" si="18"/>
        <v>271.7</v>
      </c>
      <c r="AE225" s="3">
        <v>146.7</v>
      </c>
      <c r="AF225" s="3">
        <v>133</v>
      </c>
      <c r="AG225" s="3">
        <v>132.8</v>
      </c>
      <c r="AH225" s="3">
        <v>139.5</v>
      </c>
      <c r="AI225" s="3">
        <f t="shared" si="19"/>
        <v>3708.2</v>
      </c>
    </row>
    <row r="226" spans="1:35">
      <c r="A226" s="3" t="s">
        <v>17</v>
      </c>
      <c r="B226" s="3">
        <v>2019</v>
      </c>
      <c r="C226" s="3" t="s">
        <v>26</v>
      </c>
      <c r="D226" s="3">
        <v>137.8</v>
      </c>
      <c r="E226" s="3">
        <v>153</v>
      </c>
      <c r="F226" s="3">
        <v>140.3</v>
      </c>
      <c r="G226" s="3">
        <v>142.3</v>
      </c>
      <c r="H226" s="3">
        <v>122</v>
      </c>
      <c r="I226" s="3">
        <v>137.6</v>
      </c>
      <c r="J226" s="3">
        <v>132.6</v>
      </c>
      <c r="K226" s="3">
        <v>121.8</v>
      </c>
      <c r="L226" s="3">
        <v>109</v>
      </c>
      <c r="M226" s="3">
        <v>139.5</v>
      </c>
      <c r="N226" s="3">
        <v>133.7</v>
      </c>
      <c r="O226" s="3">
        <v>155.2</v>
      </c>
      <c r="P226" s="3">
        <v>138.1</v>
      </c>
      <c r="Q226" s="68">
        <f t="shared" si="15"/>
        <v>1762.9</v>
      </c>
      <c r="R226" s="3">
        <v>163.5</v>
      </c>
      <c r="S226" s="3">
        <v>147.9</v>
      </c>
      <c r="T226" s="3">
        <v>139.9</v>
      </c>
      <c r="U226" s="3">
        <v>146.7</v>
      </c>
      <c r="V226" s="69">
        <f t="shared" si="16"/>
        <v>434.5</v>
      </c>
      <c r="W226" s="3">
        <v>149</v>
      </c>
      <c r="X226" s="3">
        <v>143.8</v>
      </c>
      <c r="Y226" s="3">
        <v>139.7</v>
      </c>
      <c r="Z226" s="3">
        <f t="shared" si="17"/>
        <v>432.5</v>
      </c>
      <c r="AA226" s="3">
        <v>124.6</v>
      </c>
      <c r="AB226" s="3">
        <v>133.4</v>
      </c>
      <c r="AC226" s="3">
        <v>146.2</v>
      </c>
      <c r="AD226" s="68">
        <f t="shared" si="18"/>
        <v>279.6</v>
      </c>
      <c r="AE226" s="3">
        <v>150.3</v>
      </c>
      <c r="AF226" s="3">
        <v>137.7</v>
      </c>
      <c r="AG226" s="3">
        <v>137.7</v>
      </c>
      <c r="AH226" s="3">
        <v>140.4</v>
      </c>
      <c r="AI226" s="3">
        <f t="shared" si="19"/>
        <v>3763.7</v>
      </c>
    </row>
    <row r="227" spans="1:35">
      <c r="A227" s="3" t="s">
        <v>14</v>
      </c>
      <c r="B227" s="3">
        <v>2019</v>
      </c>
      <c r="C227" s="3" t="s">
        <v>15</v>
      </c>
      <c r="D227" s="3">
        <v>137.4</v>
      </c>
      <c r="E227" s="3">
        <v>159.5</v>
      </c>
      <c r="F227" s="3">
        <v>134.5</v>
      </c>
      <c r="G227" s="3">
        <v>142.6</v>
      </c>
      <c r="H227" s="3">
        <v>124</v>
      </c>
      <c r="I227" s="3">
        <v>143.7</v>
      </c>
      <c r="J227" s="3">
        <v>133.4</v>
      </c>
      <c r="K227" s="3">
        <v>125.1</v>
      </c>
      <c r="L227" s="3">
        <v>109.3</v>
      </c>
      <c r="M227" s="3">
        <v>139.3</v>
      </c>
      <c r="N227" s="3">
        <v>137.7</v>
      </c>
      <c r="O227" s="3">
        <v>156.4</v>
      </c>
      <c r="P227" s="3">
        <v>139.2</v>
      </c>
      <c r="Q227" s="68">
        <f t="shared" si="15"/>
        <v>1782.1</v>
      </c>
      <c r="R227" s="3">
        <v>163.3</v>
      </c>
      <c r="S227" s="3">
        <v>151.3</v>
      </c>
      <c r="T227" s="3">
        <v>146.6</v>
      </c>
      <c r="U227" s="3">
        <v>150.7</v>
      </c>
      <c r="V227" s="69">
        <f t="shared" si="16"/>
        <v>448.6</v>
      </c>
      <c r="W227" s="75">
        <v>150.1</v>
      </c>
      <c r="X227" s="3">
        <v>149.5</v>
      </c>
      <c r="Y227" s="3">
        <v>146.9</v>
      </c>
      <c r="Z227" s="3">
        <f t="shared" si="17"/>
        <v>446.5</v>
      </c>
      <c r="AA227" s="3">
        <v>130.2</v>
      </c>
      <c r="AB227" s="3">
        <v>133.9</v>
      </c>
      <c r="AC227" s="3">
        <v>151.3</v>
      </c>
      <c r="AD227" s="68">
        <f t="shared" si="18"/>
        <v>285.2</v>
      </c>
      <c r="AE227" s="3">
        <v>156.7</v>
      </c>
      <c r="AF227" s="3">
        <v>145.9</v>
      </c>
      <c r="AG227" s="3">
        <v>142.9</v>
      </c>
      <c r="AH227" s="3">
        <v>142.4</v>
      </c>
      <c r="AI227" s="3">
        <f t="shared" si="19"/>
        <v>3843.8</v>
      </c>
    </row>
    <row r="228" spans="1:35">
      <c r="A228" s="3" t="s">
        <v>16</v>
      </c>
      <c r="B228" s="3">
        <v>2019</v>
      </c>
      <c r="C228" s="3" t="s">
        <v>15</v>
      </c>
      <c r="D228" s="3">
        <v>140.4</v>
      </c>
      <c r="E228" s="3">
        <v>156.7</v>
      </c>
      <c r="F228" s="3">
        <v>138.3</v>
      </c>
      <c r="G228" s="3">
        <v>142.4</v>
      </c>
      <c r="H228" s="3">
        <v>118.6</v>
      </c>
      <c r="I228" s="3">
        <v>149.7</v>
      </c>
      <c r="J228" s="3">
        <v>161.6</v>
      </c>
      <c r="K228" s="3">
        <v>124.4</v>
      </c>
      <c r="L228" s="3">
        <v>111.2</v>
      </c>
      <c r="M228" s="3">
        <v>141</v>
      </c>
      <c r="N228" s="3">
        <v>128.9</v>
      </c>
      <c r="O228" s="3">
        <v>154.5</v>
      </c>
      <c r="P228" s="3">
        <v>143.8</v>
      </c>
      <c r="Q228" s="68">
        <f t="shared" si="15"/>
        <v>1811.5</v>
      </c>
      <c r="R228" s="3">
        <v>166.2</v>
      </c>
      <c r="S228" s="3">
        <v>144</v>
      </c>
      <c r="T228" s="3">
        <v>131.7</v>
      </c>
      <c r="U228" s="3">
        <v>142.2</v>
      </c>
      <c r="V228" s="69">
        <f t="shared" si="16"/>
        <v>417.9</v>
      </c>
      <c r="W228" s="3">
        <v>150.1</v>
      </c>
      <c r="X228" s="3">
        <v>137.2</v>
      </c>
      <c r="Y228" s="3">
        <v>129.4</v>
      </c>
      <c r="Z228" s="3">
        <f t="shared" si="17"/>
        <v>416.7</v>
      </c>
      <c r="AA228" s="3">
        <v>120.1</v>
      </c>
      <c r="AB228" s="3">
        <v>132.6</v>
      </c>
      <c r="AC228" s="3">
        <v>139.8</v>
      </c>
      <c r="AD228" s="68">
        <f t="shared" si="18"/>
        <v>272.4</v>
      </c>
      <c r="AE228" s="3">
        <v>148</v>
      </c>
      <c r="AF228" s="3">
        <v>134</v>
      </c>
      <c r="AG228" s="3">
        <v>133.3</v>
      </c>
      <c r="AH228" s="3">
        <v>141.5</v>
      </c>
      <c r="AI228" s="3">
        <f t="shared" si="19"/>
        <v>3761.6</v>
      </c>
    </row>
    <row r="229" spans="1:35">
      <c r="A229" s="3" t="s">
        <v>17</v>
      </c>
      <c r="B229" s="3">
        <v>2019</v>
      </c>
      <c r="C229" s="3" t="s">
        <v>15</v>
      </c>
      <c r="D229" s="3">
        <v>138.3</v>
      </c>
      <c r="E229" s="3">
        <v>158.5</v>
      </c>
      <c r="F229" s="3">
        <v>136</v>
      </c>
      <c r="G229" s="3">
        <v>142.5</v>
      </c>
      <c r="H229" s="3">
        <v>122</v>
      </c>
      <c r="I229" s="3">
        <v>146.5</v>
      </c>
      <c r="J229" s="3">
        <v>143</v>
      </c>
      <c r="K229" s="3">
        <v>124.9</v>
      </c>
      <c r="L229" s="3">
        <v>109.9</v>
      </c>
      <c r="M229" s="3">
        <v>139.9</v>
      </c>
      <c r="N229" s="3">
        <v>134</v>
      </c>
      <c r="O229" s="3">
        <v>155.5</v>
      </c>
      <c r="P229" s="3">
        <v>140.9</v>
      </c>
      <c r="Q229" s="68">
        <f t="shared" si="15"/>
        <v>1791.9</v>
      </c>
      <c r="R229" s="3">
        <v>164.1</v>
      </c>
      <c r="S229" s="3">
        <v>148.4</v>
      </c>
      <c r="T229" s="3">
        <v>140.4</v>
      </c>
      <c r="U229" s="3">
        <v>147.3</v>
      </c>
      <c r="V229" s="69">
        <f t="shared" si="16"/>
        <v>436.1</v>
      </c>
      <c r="W229" s="3">
        <v>150.1</v>
      </c>
      <c r="X229" s="3">
        <v>143.7</v>
      </c>
      <c r="Y229" s="3">
        <v>140.3</v>
      </c>
      <c r="Z229" s="3">
        <f t="shared" si="17"/>
        <v>434.1</v>
      </c>
      <c r="AA229" s="3">
        <v>124.9</v>
      </c>
      <c r="AB229" s="3">
        <v>133.4</v>
      </c>
      <c r="AC229" s="3">
        <v>146.9</v>
      </c>
      <c r="AD229" s="68">
        <f t="shared" si="18"/>
        <v>280.3</v>
      </c>
      <c r="AE229" s="3">
        <v>151.6</v>
      </c>
      <c r="AF229" s="3">
        <v>139.2</v>
      </c>
      <c r="AG229" s="3">
        <v>138.2</v>
      </c>
      <c r="AH229" s="3">
        <v>142</v>
      </c>
      <c r="AI229" s="3">
        <f t="shared" si="19"/>
        <v>3802.4</v>
      </c>
    </row>
    <row r="230" spans="1:35">
      <c r="A230" s="3" t="s">
        <v>14</v>
      </c>
      <c r="B230" s="3">
        <v>2019</v>
      </c>
      <c r="C230" s="3" t="s">
        <v>30</v>
      </c>
      <c r="D230" s="3">
        <v>137.8</v>
      </c>
      <c r="E230" s="3">
        <v>163.5</v>
      </c>
      <c r="F230" s="3">
        <v>136.2</v>
      </c>
      <c r="G230" s="3">
        <v>143.2</v>
      </c>
      <c r="H230" s="3">
        <v>124.3</v>
      </c>
      <c r="I230" s="3">
        <v>143.3</v>
      </c>
      <c r="J230" s="3">
        <v>140.6</v>
      </c>
      <c r="K230" s="3">
        <v>128.7</v>
      </c>
      <c r="L230" s="3">
        <v>110.6</v>
      </c>
      <c r="M230" s="3">
        <v>140.4</v>
      </c>
      <c r="N230" s="3">
        <v>138</v>
      </c>
      <c r="O230" s="3">
        <v>156.6</v>
      </c>
      <c r="P230" s="3">
        <v>141</v>
      </c>
      <c r="Q230" s="68">
        <f t="shared" si="15"/>
        <v>1804.2</v>
      </c>
      <c r="R230" s="3">
        <v>164.2</v>
      </c>
      <c r="S230" s="3">
        <v>151.4</v>
      </c>
      <c r="T230" s="3">
        <v>146.5</v>
      </c>
      <c r="U230" s="3">
        <v>150.7</v>
      </c>
      <c r="V230" s="69">
        <f t="shared" si="16"/>
        <v>448.6</v>
      </c>
      <c r="W230" s="75">
        <v>149.4</v>
      </c>
      <c r="X230" s="3">
        <v>149.6</v>
      </c>
      <c r="Y230" s="3">
        <v>147.8</v>
      </c>
      <c r="Z230" s="3">
        <f t="shared" si="17"/>
        <v>446.8</v>
      </c>
      <c r="AA230" s="3">
        <v>130.2</v>
      </c>
      <c r="AB230" s="3">
        <v>134.8</v>
      </c>
      <c r="AC230" s="3">
        <v>151.7</v>
      </c>
      <c r="AD230" s="68">
        <f t="shared" si="18"/>
        <v>286.5</v>
      </c>
      <c r="AE230" s="3">
        <v>157.7</v>
      </c>
      <c r="AF230" s="3">
        <v>146.4</v>
      </c>
      <c r="AG230" s="3">
        <v>143.3</v>
      </c>
      <c r="AH230" s="3">
        <v>143.6</v>
      </c>
      <c r="AI230" s="3">
        <f t="shared" si="19"/>
        <v>3871.5</v>
      </c>
    </row>
    <row r="231" spans="1:35">
      <c r="A231" s="3" t="s">
        <v>16</v>
      </c>
      <c r="B231" s="3">
        <v>2019</v>
      </c>
      <c r="C231" s="3" t="s">
        <v>30</v>
      </c>
      <c r="D231" s="3">
        <v>140.7</v>
      </c>
      <c r="E231" s="3">
        <v>159.6</v>
      </c>
      <c r="F231" s="3">
        <v>140.4</v>
      </c>
      <c r="G231" s="3">
        <v>143.4</v>
      </c>
      <c r="H231" s="3">
        <v>118.6</v>
      </c>
      <c r="I231" s="3">
        <v>150.9</v>
      </c>
      <c r="J231" s="3">
        <v>169.8</v>
      </c>
      <c r="K231" s="3">
        <v>127.4</v>
      </c>
      <c r="L231" s="3">
        <v>111.8</v>
      </c>
      <c r="M231" s="3">
        <v>141</v>
      </c>
      <c r="N231" s="3">
        <v>129</v>
      </c>
      <c r="O231" s="3">
        <v>155.1</v>
      </c>
      <c r="P231" s="3">
        <v>145.6</v>
      </c>
      <c r="Q231" s="68">
        <f t="shared" si="15"/>
        <v>1833.3</v>
      </c>
      <c r="R231" s="3">
        <v>166.7</v>
      </c>
      <c r="S231" s="3">
        <v>144.3</v>
      </c>
      <c r="T231" s="3">
        <v>131.7</v>
      </c>
      <c r="U231" s="3">
        <v>142.4</v>
      </c>
      <c r="V231" s="69">
        <f t="shared" si="16"/>
        <v>418.4</v>
      </c>
      <c r="W231" s="3">
        <v>149.4</v>
      </c>
      <c r="X231" s="3">
        <v>137.4</v>
      </c>
      <c r="Y231" s="3">
        <v>130.5</v>
      </c>
      <c r="Z231" s="3">
        <f t="shared" si="17"/>
        <v>417.3</v>
      </c>
      <c r="AA231" s="3">
        <v>119.6</v>
      </c>
      <c r="AB231" s="3">
        <v>133.7</v>
      </c>
      <c r="AC231" s="3">
        <v>140.3</v>
      </c>
      <c r="AD231" s="68">
        <f t="shared" si="18"/>
        <v>274</v>
      </c>
      <c r="AE231" s="3">
        <v>148.9</v>
      </c>
      <c r="AF231" s="3">
        <v>134.3</v>
      </c>
      <c r="AG231" s="3">
        <v>133.6</v>
      </c>
      <c r="AH231" s="3">
        <v>142.1</v>
      </c>
      <c r="AI231" s="3">
        <f t="shared" si="19"/>
        <v>3788.2</v>
      </c>
    </row>
    <row r="232" spans="1:35">
      <c r="A232" s="3" t="s">
        <v>17</v>
      </c>
      <c r="B232" s="3">
        <v>2019</v>
      </c>
      <c r="C232" s="3" t="s">
        <v>30</v>
      </c>
      <c r="D232" s="3">
        <v>138.7</v>
      </c>
      <c r="E232" s="3">
        <v>162.1</v>
      </c>
      <c r="F232" s="3">
        <v>137.8</v>
      </c>
      <c r="G232" s="3">
        <v>143.3</v>
      </c>
      <c r="H232" s="3">
        <v>122.2</v>
      </c>
      <c r="I232" s="3">
        <v>146.8</v>
      </c>
      <c r="J232" s="3">
        <v>150.5</v>
      </c>
      <c r="K232" s="3">
        <v>128.3</v>
      </c>
      <c r="L232" s="3">
        <v>111</v>
      </c>
      <c r="M232" s="3">
        <v>140.6</v>
      </c>
      <c r="N232" s="3">
        <v>134.2</v>
      </c>
      <c r="O232" s="3">
        <v>155.9</v>
      </c>
      <c r="P232" s="3">
        <v>142.7</v>
      </c>
      <c r="Q232" s="68">
        <f t="shared" si="15"/>
        <v>1814.1</v>
      </c>
      <c r="R232" s="3">
        <v>164.9</v>
      </c>
      <c r="S232" s="3">
        <v>148.6</v>
      </c>
      <c r="T232" s="3">
        <v>140.4</v>
      </c>
      <c r="U232" s="3">
        <v>147.4</v>
      </c>
      <c r="V232" s="69">
        <f t="shared" si="16"/>
        <v>436.4</v>
      </c>
      <c r="W232" s="3">
        <v>149.4</v>
      </c>
      <c r="X232" s="3">
        <v>143.8</v>
      </c>
      <c r="Y232" s="3">
        <v>141.2</v>
      </c>
      <c r="Z232" s="3">
        <f t="shared" si="17"/>
        <v>434.4</v>
      </c>
      <c r="AA232" s="3">
        <v>124.6</v>
      </c>
      <c r="AB232" s="3">
        <v>134.3</v>
      </c>
      <c r="AC232" s="3">
        <v>147.4</v>
      </c>
      <c r="AD232" s="68">
        <f t="shared" si="18"/>
        <v>281.7</v>
      </c>
      <c r="AE232" s="3">
        <v>152.5</v>
      </c>
      <c r="AF232" s="3">
        <v>139.6</v>
      </c>
      <c r="AG232" s="3">
        <v>138.6</v>
      </c>
      <c r="AH232" s="3">
        <v>142.9</v>
      </c>
      <c r="AI232" s="3">
        <f t="shared" si="19"/>
        <v>3829.7</v>
      </c>
    </row>
    <row r="233" spans="1:35">
      <c r="A233" s="3" t="s">
        <v>14</v>
      </c>
      <c r="B233" s="3">
        <v>2019</v>
      </c>
      <c r="C233" s="3" t="s">
        <v>31</v>
      </c>
      <c r="D233" s="3">
        <v>138.4</v>
      </c>
      <c r="E233" s="3">
        <v>164</v>
      </c>
      <c r="F233" s="3">
        <v>138.4</v>
      </c>
      <c r="G233" s="3">
        <v>143.9</v>
      </c>
      <c r="H233" s="3">
        <v>124.4</v>
      </c>
      <c r="I233" s="3">
        <v>146.4</v>
      </c>
      <c r="J233" s="3">
        <v>150.1</v>
      </c>
      <c r="K233" s="3">
        <v>130.6</v>
      </c>
      <c r="L233" s="3">
        <v>110.8</v>
      </c>
      <c r="M233" s="3">
        <v>141.7</v>
      </c>
      <c r="N233" s="3">
        <v>138.5</v>
      </c>
      <c r="O233" s="3">
        <v>156.7</v>
      </c>
      <c r="P233" s="3">
        <v>143</v>
      </c>
      <c r="Q233" s="68">
        <f t="shared" si="15"/>
        <v>1826.9</v>
      </c>
      <c r="R233" s="3">
        <v>164.5</v>
      </c>
      <c r="S233" s="3">
        <v>151.6</v>
      </c>
      <c r="T233" s="3">
        <v>146.6</v>
      </c>
      <c r="U233" s="3">
        <v>150.9</v>
      </c>
      <c r="V233" s="69">
        <f t="shared" si="16"/>
        <v>449.1</v>
      </c>
      <c r="W233" s="75">
        <v>150.6</v>
      </c>
      <c r="X233" s="3">
        <v>150</v>
      </c>
      <c r="Y233" s="3">
        <v>146.8</v>
      </c>
      <c r="Z233" s="3">
        <f t="shared" si="17"/>
        <v>447.4</v>
      </c>
      <c r="AA233" s="3">
        <v>131.2</v>
      </c>
      <c r="AB233" s="3">
        <v>136.1</v>
      </c>
      <c r="AC233" s="3">
        <v>152.2</v>
      </c>
      <c r="AD233" s="68">
        <f t="shared" si="18"/>
        <v>288.3</v>
      </c>
      <c r="AE233" s="3">
        <v>159.1</v>
      </c>
      <c r="AF233" s="3">
        <v>147.5</v>
      </c>
      <c r="AG233" s="3">
        <v>144.2</v>
      </c>
      <c r="AH233" s="3">
        <v>144.9</v>
      </c>
      <c r="AI233" s="3">
        <f t="shared" si="19"/>
        <v>3903.1</v>
      </c>
    </row>
    <row r="234" spans="1:35">
      <c r="A234" s="3" t="s">
        <v>16</v>
      </c>
      <c r="B234" s="3">
        <v>2019</v>
      </c>
      <c r="C234" s="3" t="s">
        <v>31</v>
      </c>
      <c r="D234" s="3">
        <v>141.4</v>
      </c>
      <c r="E234" s="3">
        <v>160.2</v>
      </c>
      <c r="F234" s="3">
        <v>142.5</v>
      </c>
      <c r="G234" s="3">
        <v>144.1</v>
      </c>
      <c r="H234" s="3">
        <v>119.3</v>
      </c>
      <c r="I234" s="3">
        <v>154.7</v>
      </c>
      <c r="J234" s="3">
        <v>180.1</v>
      </c>
      <c r="K234" s="3">
        <v>128.9</v>
      </c>
      <c r="L234" s="3">
        <v>111.8</v>
      </c>
      <c r="M234" s="3">
        <v>141.6</v>
      </c>
      <c r="N234" s="3">
        <v>129.5</v>
      </c>
      <c r="O234" s="3">
        <v>155.6</v>
      </c>
      <c r="P234" s="3">
        <v>147.7</v>
      </c>
      <c r="Q234" s="68">
        <f t="shared" si="15"/>
        <v>1857.4</v>
      </c>
      <c r="R234" s="3">
        <v>167.2</v>
      </c>
      <c r="S234" s="3">
        <v>144.7</v>
      </c>
      <c r="T234" s="3">
        <v>131.9</v>
      </c>
      <c r="U234" s="3">
        <v>142.7</v>
      </c>
      <c r="V234" s="69">
        <f t="shared" si="16"/>
        <v>419.3</v>
      </c>
      <c r="W234" s="3">
        <v>150.6</v>
      </c>
      <c r="X234" s="3">
        <v>137.7</v>
      </c>
      <c r="Y234" s="3">
        <v>127</v>
      </c>
      <c r="Z234" s="3">
        <f t="shared" si="17"/>
        <v>415.3</v>
      </c>
      <c r="AA234" s="3">
        <v>120.6</v>
      </c>
      <c r="AB234" s="3">
        <v>135.1</v>
      </c>
      <c r="AC234" s="3">
        <v>140.8</v>
      </c>
      <c r="AD234" s="68">
        <f t="shared" si="18"/>
        <v>275.9</v>
      </c>
      <c r="AE234" s="3">
        <v>150.4</v>
      </c>
      <c r="AF234" s="3">
        <v>135</v>
      </c>
      <c r="AG234" s="3">
        <v>134.5</v>
      </c>
      <c r="AH234" s="3">
        <v>143.3</v>
      </c>
      <c r="AI234" s="3">
        <f t="shared" si="19"/>
        <v>3818.9</v>
      </c>
    </row>
    <row r="235" spans="1:35">
      <c r="A235" s="3" t="s">
        <v>17</v>
      </c>
      <c r="B235" s="3">
        <v>2019</v>
      </c>
      <c r="C235" s="3" t="s">
        <v>31</v>
      </c>
      <c r="D235" s="3">
        <v>139.3</v>
      </c>
      <c r="E235" s="3">
        <v>162.7</v>
      </c>
      <c r="F235" s="3">
        <v>140</v>
      </c>
      <c r="G235" s="3">
        <v>144</v>
      </c>
      <c r="H235" s="3">
        <v>122.5</v>
      </c>
      <c r="I235" s="3">
        <v>150.3</v>
      </c>
      <c r="J235" s="3">
        <v>160.3</v>
      </c>
      <c r="K235" s="3">
        <v>130</v>
      </c>
      <c r="L235" s="3">
        <v>111.1</v>
      </c>
      <c r="M235" s="3">
        <v>141.7</v>
      </c>
      <c r="N235" s="3">
        <v>134.7</v>
      </c>
      <c r="O235" s="3">
        <v>156.2</v>
      </c>
      <c r="P235" s="3">
        <v>144.7</v>
      </c>
      <c r="Q235" s="68">
        <f t="shared" si="15"/>
        <v>1837.5</v>
      </c>
      <c r="R235" s="3">
        <v>165.2</v>
      </c>
      <c r="S235" s="3">
        <v>148.9</v>
      </c>
      <c r="T235" s="3">
        <v>140.5</v>
      </c>
      <c r="U235" s="3">
        <v>147.6</v>
      </c>
      <c r="V235" s="69">
        <f t="shared" si="16"/>
        <v>437</v>
      </c>
      <c r="W235" s="3">
        <v>150.6</v>
      </c>
      <c r="X235" s="3">
        <v>144.2</v>
      </c>
      <c r="Y235" s="3">
        <v>139.3</v>
      </c>
      <c r="Z235" s="3">
        <f t="shared" si="17"/>
        <v>434.1</v>
      </c>
      <c r="AA235" s="3">
        <v>125.6</v>
      </c>
      <c r="AB235" s="3">
        <v>135.7</v>
      </c>
      <c r="AC235" s="3">
        <v>147.9</v>
      </c>
      <c r="AD235" s="68">
        <f t="shared" si="18"/>
        <v>283.6</v>
      </c>
      <c r="AE235" s="3">
        <v>154</v>
      </c>
      <c r="AF235" s="3">
        <v>140.5</v>
      </c>
      <c r="AG235" s="3">
        <v>139.5</v>
      </c>
      <c r="AH235" s="3">
        <v>144.2</v>
      </c>
      <c r="AI235" s="3">
        <f t="shared" si="19"/>
        <v>3861.2</v>
      </c>
    </row>
    <row r="236" spans="1:35">
      <c r="A236" s="3" t="s">
        <v>14</v>
      </c>
      <c r="B236" s="3">
        <v>2019</v>
      </c>
      <c r="C236" s="3" t="s">
        <v>32</v>
      </c>
      <c r="D236" s="3">
        <v>139.2</v>
      </c>
      <c r="E236" s="3">
        <v>161.9</v>
      </c>
      <c r="F236" s="3">
        <v>137.1</v>
      </c>
      <c r="G236" s="3">
        <v>144.6</v>
      </c>
      <c r="H236" s="3">
        <v>124.7</v>
      </c>
      <c r="I236" s="3">
        <v>145.5</v>
      </c>
      <c r="J236" s="3">
        <v>156.2</v>
      </c>
      <c r="K236" s="3">
        <v>131.5</v>
      </c>
      <c r="L236" s="3">
        <v>111.7</v>
      </c>
      <c r="M236" s="3">
        <v>142.7</v>
      </c>
      <c r="N236" s="3">
        <v>138.5</v>
      </c>
      <c r="O236" s="3">
        <v>156.9</v>
      </c>
      <c r="P236" s="3">
        <v>144</v>
      </c>
      <c r="Q236" s="68">
        <f t="shared" si="15"/>
        <v>1834.5</v>
      </c>
      <c r="R236" s="3">
        <v>165.1</v>
      </c>
      <c r="S236" s="3">
        <v>151.8</v>
      </c>
      <c r="T236" s="3">
        <v>146.6</v>
      </c>
      <c r="U236" s="3">
        <v>151.1</v>
      </c>
      <c r="V236" s="69">
        <f t="shared" si="16"/>
        <v>449.5</v>
      </c>
      <c r="W236" s="75">
        <v>151.6</v>
      </c>
      <c r="X236" s="3">
        <v>150.2</v>
      </c>
      <c r="Y236" s="3">
        <v>146.4</v>
      </c>
      <c r="Z236" s="3">
        <f t="shared" si="17"/>
        <v>448.2</v>
      </c>
      <c r="AA236" s="3">
        <v>131.4</v>
      </c>
      <c r="AB236" s="3">
        <v>138.8</v>
      </c>
      <c r="AC236" s="3">
        <v>152.7</v>
      </c>
      <c r="AD236" s="68">
        <f t="shared" si="18"/>
        <v>291.5</v>
      </c>
      <c r="AE236" s="3">
        <v>159.7</v>
      </c>
      <c r="AF236" s="3">
        <v>148</v>
      </c>
      <c r="AG236" s="3">
        <v>144.9</v>
      </c>
      <c r="AH236" s="3">
        <v>145.7</v>
      </c>
      <c r="AI236" s="3">
        <f t="shared" si="19"/>
        <v>3918.5</v>
      </c>
    </row>
    <row r="237" spans="1:35">
      <c r="A237" s="3" t="s">
        <v>16</v>
      </c>
      <c r="B237" s="3">
        <v>2019</v>
      </c>
      <c r="C237" s="3" t="s">
        <v>32</v>
      </c>
      <c r="D237" s="3">
        <v>142.1</v>
      </c>
      <c r="E237" s="3">
        <v>158.3</v>
      </c>
      <c r="F237" s="3">
        <v>140.8</v>
      </c>
      <c r="G237" s="3">
        <v>144.9</v>
      </c>
      <c r="H237" s="3">
        <v>119.9</v>
      </c>
      <c r="I237" s="3">
        <v>153.9</v>
      </c>
      <c r="J237" s="3">
        <v>189.1</v>
      </c>
      <c r="K237" s="3">
        <v>129.8</v>
      </c>
      <c r="L237" s="3">
        <v>112.7</v>
      </c>
      <c r="M237" s="3">
        <v>142.5</v>
      </c>
      <c r="N237" s="3">
        <v>129.8</v>
      </c>
      <c r="O237" s="3">
        <v>156.2</v>
      </c>
      <c r="P237" s="3">
        <v>149.1</v>
      </c>
      <c r="Q237" s="68">
        <f t="shared" si="15"/>
        <v>1869.1</v>
      </c>
      <c r="R237" s="3">
        <v>167.9</v>
      </c>
      <c r="S237" s="3">
        <v>145</v>
      </c>
      <c r="T237" s="3">
        <v>132.2</v>
      </c>
      <c r="U237" s="3">
        <v>143</v>
      </c>
      <c r="V237" s="69">
        <f t="shared" si="16"/>
        <v>420.2</v>
      </c>
      <c r="W237" s="3">
        <v>151.6</v>
      </c>
      <c r="X237" s="3">
        <v>138.1</v>
      </c>
      <c r="Y237" s="3">
        <v>125.5</v>
      </c>
      <c r="Z237" s="3">
        <f t="shared" si="17"/>
        <v>415.2</v>
      </c>
      <c r="AA237" s="3">
        <v>120.8</v>
      </c>
      <c r="AB237" s="3">
        <v>137.8</v>
      </c>
      <c r="AC237" s="3">
        <v>141.5</v>
      </c>
      <c r="AD237" s="68">
        <f t="shared" si="18"/>
        <v>279.3</v>
      </c>
      <c r="AE237" s="3">
        <v>151.5</v>
      </c>
      <c r="AF237" s="3">
        <v>135.4</v>
      </c>
      <c r="AG237" s="3">
        <v>135.3</v>
      </c>
      <c r="AH237" s="3">
        <v>144.2</v>
      </c>
      <c r="AI237" s="3">
        <f t="shared" si="19"/>
        <v>3838.9</v>
      </c>
    </row>
    <row r="238" spans="1:35">
      <c r="A238" s="3" t="s">
        <v>17</v>
      </c>
      <c r="B238" s="3">
        <v>2019</v>
      </c>
      <c r="C238" s="3" t="s">
        <v>32</v>
      </c>
      <c r="D238" s="3">
        <v>140.1</v>
      </c>
      <c r="E238" s="3">
        <v>160.6</v>
      </c>
      <c r="F238" s="3">
        <v>138.5</v>
      </c>
      <c r="G238" s="3">
        <v>144.7</v>
      </c>
      <c r="H238" s="3">
        <v>122.9</v>
      </c>
      <c r="I238" s="3">
        <v>149.4</v>
      </c>
      <c r="J238" s="3">
        <v>167.4</v>
      </c>
      <c r="K238" s="3">
        <v>130.9</v>
      </c>
      <c r="L238" s="3">
        <v>112</v>
      </c>
      <c r="M238" s="3">
        <v>142.6</v>
      </c>
      <c r="N238" s="3">
        <v>134.9</v>
      </c>
      <c r="O238" s="3">
        <v>156.6</v>
      </c>
      <c r="P238" s="3">
        <v>145.9</v>
      </c>
      <c r="Q238" s="68">
        <f t="shared" si="15"/>
        <v>1846.5</v>
      </c>
      <c r="R238" s="3">
        <v>165.8</v>
      </c>
      <c r="S238" s="3">
        <v>149.1</v>
      </c>
      <c r="T238" s="3">
        <v>140.6</v>
      </c>
      <c r="U238" s="3">
        <v>147.9</v>
      </c>
      <c r="V238" s="69">
        <f t="shared" si="16"/>
        <v>437.6</v>
      </c>
      <c r="W238" s="3">
        <v>151.6</v>
      </c>
      <c r="X238" s="3">
        <v>144.5</v>
      </c>
      <c r="Y238" s="3">
        <v>138.5</v>
      </c>
      <c r="Z238" s="3">
        <f t="shared" si="17"/>
        <v>434.6</v>
      </c>
      <c r="AA238" s="3">
        <v>125.8</v>
      </c>
      <c r="AB238" s="3">
        <v>138.4</v>
      </c>
      <c r="AC238" s="3">
        <v>148.5</v>
      </c>
      <c r="AD238" s="68">
        <f t="shared" si="18"/>
        <v>286.9</v>
      </c>
      <c r="AE238" s="3">
        <v>154.9</v>
      </c>
      <c r="AF238" s="3">
        <v>140.9</v>
      </c>
      <c r="AG238" s="3">
        <v>140.2</v>
      </c>
      <c r="AH238" s="3">
        <v>145</v>
      </c>
      <c r="AI238" s="3">
        <f t="shared" si="19"/>
        <v>3878.2</v>
      </c>
    </row>
    <row r="239" spans="1:35">
      <c r="A239" s="3" t="s">
        <v>14</v>
      </c>
      <c r="B239" s="3">
        <v>2019</v>
      </c>
      <c r="C239" s="3" t="s">
        <v>33</v>
      </c>
      <c r="D239" s="3">
        <v>140.1</v>
      </c>
      <c r="E239" s="3">
        <v>161.9</v>
      </c>
      <c r="F239" s="3">
        <v>138.3</v>
      </c>
      <c r="G239" s="3">
        <v>145.7</v>
      </c>
      <c r="H239" s="3">
        <v>125.1</v>
      </c>
      <c r="I239" s="3">
        <v>143.8</v>
      </c>
      <c r="J239" s="3">
        <v>163.4</v>
      </c>
      <c r="K239" s="3">
        <v>132.2</v>
      </c>
      <c r="L239" s="3">
        <v>112.8</v>
      </c>
      <c r="M239" s="3">
        <v>144.2</v>
      </c>
      <c r="N239" s="3">
        <v>138.5</v>
      </c>
      <c r="O239" s="3">
        <v>157.2</v>
      </c>
      <c r="P239" s="3">
        <v>145.5</v>
      </c>
      <c r="Q239" s="68">
        <f t="shared" si="15"/>
        <v>1848.7</v>
      </c>
      <c r="R239" s="3">
        <v>165.7</v>
      </c>
      <c r="S239" s="3">
        <v>151.7</v>
      </c>
      <c r="T239" s="3">
        <v>146.6</v>
      </c>
      <c r="U239" s="3">
        <v>151</v>
      </c>
      <c r="V239" s="69">
        <f t="shared" si="16"/>
        <v>449.3</v>
      </c>
      <c r="W239" s="75">
        <v>152.2</v>
      </c>
      <c r="X239" s="3">
        <v>150.3</v>
      </c>
      <c r="Y239" s="3">
        <v>146.9</v>
      </c>
      <c r="Z239" s="3">
        <f t="shared" si="17"/>
        <v>449.4</v>
      </c>
      <c r="AA239" s="3">
        <v>131.6</v>
      </c>
      <c r="AB239" s="3">
        <v>140.2</v>
      </c>
      <c r="AC239" s="3">
        <v>153.4</v>
      </c>
      <c r="AD239" s="68">
        <f t="shared" si="18"/>
        <v>293.6</v>
      </c>
      <c r="AE239" s="3">
        <v>160.2</v>
      </c>
      <c r="AF239" s="3">
        <v>148.3</v>
      </c>
      <c r="AG239" s="3">
        <v>145.4</v>
      </c>
      <c r="AH239" s="3">
        <v>146.7</v>
      </c>
      <c r="AI239" s="3">
        <f t="shared" si="19"/>
        <v>3938.9</v>
      </c>
    </row>
    <row r="240" spans="1:35">
      <c r="A240" s="3" t="s">
        <v>16</v>
      </c>
      <c r="B240" s="3">
        <v>2019</v>
      </c>
      <c r="C240" s="3" t="s">
        <v>33</v>
      </c>
      <c r="D240" s="3">
        <v>142.7</v>
      </c>
      <c r="E240" s="3">
        <v>158.7</v>
      </c>
      <c r="F240" s="3">
        <v>141.6</v>
      </c>
      <c r="G240" s="3">
        <v>144.9</v>
      </c>
      <c r="H240" s="3">
        <v>120.8</v>
      </c>
      <c r="I240" s="3">
        <v>149.8</v>
      </c>
      <c r="J240" s="3">
        <v>192.4</v>
      </c>
      <c r="K240" s="3">
        <v>130.3</v>
      </c>
      <c r="L240" s="3">
        <v>114</v>
      </c>
      <c r="M240" s="3">
        <v>143.8</v>
      </c>
      <c r="N240" s="3">
        <v>130</v>
      </c>
      <c r="O240" s="3">
        <v>156.4</v>
      </c>
      <c r="P240" s="3">
        <v>149.5</v>
      </c>
      <c r="Q240" s="68">
        <f t="shared" si="15"/>
        <v>1874.9</v>
      </c>
      <c r="R240" s="3">
        <v>168.6</v>
      </c>
      <c r="S240" s="3">
        <v>145.3</v>
      </c>
      <c r="T240" s="3">
        <v>132.2</v>
      </c>
      <c r="U240" s="3">
        <v>143.3</v>
      </c>
      <c r="V240" s="69">
        <f t="shared" si="16"/>
        <v>420.8</v>
      </c>
      <c r="W240" s="3">
        <v>152.2</v>
      </c>
      <c r="X240" s="3">
        <v>138.3</v>
      </c>
      <c r="Y240" s="3">
        <v>126.6</v>
      </c>
      <c r="Z240" s="3">
        <f t="shared" si="17"/>
        <v>417.1</v>
      </c>
      <c r="AA240" s="3">
        <v>121.2</v>
      </c>
      <c r="AB240" s="3">
        <v>139</v>
      </c>
      <c r="AC240" s="3">
        <v>141.9</v>
      </c>
      <c r="AD240" s="68">
        <f t="shared" si="18"/>
        <v>280.9</v>
      </c>
      <c r="AE240" s="3">
        <v>151.6</v>
      </c>
      <c r="AF240" s="3">
        <v>135.9</v>
      </c>
      <c r="AG240" s="3">
        <v>135.7</v>
      </c>
      <c r="AH240" s="3">
        <v>144.7</v>
      </c>
      <c r="AI240" s="3">
        <f t="shared" si="19"/>
        <v>3851.4</v>
      </c>
    </row>
    <row r="241" spans="1:35">
      <c r="A241" s="3" t="s">
        <v>17</v>
      </c>
      <c r="B241" s="3">
        <v>2019</v>
      </c>
      <c r="C241" s="3" t="s">
        <v>33</v>
      </c>
      <c r="D241" s="3">
        <v>140.9</v>
      </c>
      <c r="E241" s="3">
        <v>160.8</v>
      </c>
      <c r="F241" s="3">
        <v>139.6</v>
      </c>
      <c r="G241" s="3">
        <v>145.4</v>
      </c>
      <c r="H241" s="3">
        <v>123.5</v>
      </c>
      <c r="I241" s="3">
        <v>146.6</v>
      </c>
      <c r="J241" s="3">
        <v>173.2</v>
      </c>
      <c r="K241" s="3">
        <v>131.6</v>
      </c>
      <c r="L241" s="3">
        <v>113.2</v>
      </c>
      <c r="M241" s="3">
        <v>144.1</v>
      </c>
      <c r="N241" s="3">
        <v>135</v>
      </c>
      <c r="O241" s="3">
        <v>156.8</v>
      </c>
      <c r="P241" s="3">
        <v>147</v>
      </c>
      <c r="Q241" s="68">
        <f t="shared" si="15"/>
        <v>1857.7</v>
      </c>
      <c r="R241" s="3">
        <v>166.5</v>
      </c>
      <c r="S241" s="3">
        <v>149.2</v>
      </c>
      <c r="T241" s="3">
        <v>140.6</v>
      </c>
      <c r="U241" s="3">
        <v>147.9</v>
      </c>
      <c r="V241" s="69">
        <f t="shared" si="16"/>
        <v>437.7</v>
      </c>
      <c r="W241" s="3">
        <v>152.2</v>
      </c>
      <c r="X241" s="3">
        <v>144.6</v>
      </c>
      <c r="Y241" s="3">
        <v>139.2</v>
      </c>
      <c r="Z241" s="3">
        <f t="shared" si="17"/>
        <v>436</v>
      </c>
      <c r="AA241" s="3">
        <v>126.1</v>
      </c>
      <c r="AB241" s="3">
        <v>139.7</v>
      </c>
      <c r="AC241" s="3">
        <v>149</v>
      </c>
      <c r="AD241" s="68">
        <f t="shared" si="18"/>
        <v>288.7</v>
      </c>
      <c r="AE241" s="3">
        <v>155.2</v>
      </c>
      <c r="AF241" s="3">
        <v>141.3</v>
      </c>
      <c r="AG241" s="3">
        <v>140.7</v>
      </c>
      <c r="AH241" s="3">
        <v>145.8</v>
      </c>
      <c r="AI241" s="3">
        <f t="shared" si="19"/>
        <v>3895.7</v>
      </c>
    </row>
    <row r="242" spans="1:35">
      <c r="A242" s="3" t="s">
        <v>14</v>
      </c>
      <c r="B242" s="3">
        <v>2019</v>
      </c>
      <c r="C242" s="3" t="s">
        <v>34</v>
      </c>
      <c r="D242" s="3">
        <v>141</v>
      </c>
      <c r="E242" s="3">
        <v>161.6</v>
      </c>
      <c r="F242" s="3">
        <v>141.2</v>
      </c>
      <c r="G242" s="3">
        <v>146.5</v>
      </c>
      <c r="H242" s="3">
        <v>125.6</v>
      </c>
      <c r="I242" s="3">
        <v>145.7</v>
      </c>
      <c r="J242" s="3">
        <v>178.8</v>
      </c>
      <c r="K242" s="3">
        <v>133.1</v>
      </c>
      <c r="L242" s="3">
        <v>113.6</v>
      </c>
      <c r="M242" s="3">
        <v>145.5</v>
      </c>
      <c r="N242" s="3">
        <v>138.6</v>
      </c>
      <c r="O242" s="3">
        <v>157.4</v>
      </c>
      <c r="P242" s="3">
        <v>148.3</v>
      </c>
      <c r="Q242" s="68">
        <f t="shared" si="15"/>
        <v>1876.9</v>
      </c>
      <c r="R242" s="3">
        <v>166.3</v>
      </c>
      <c r="S242" s="3">
        <v>151.7</v>
      </c>
      <c r="T242" s="3">
        <v>146.7</v>
      </c>
      <c r="U242" s="3">
        <v>151</v>
      </c>
      <c r="V242" s="69">
        <f t="shared" si="16"/>
        <v>449.4</v>
      </c>
      <c r="W242" s="75">
        <v>153</v>
      </c>
      <c r="X242" s="3">
        <v>150.6</v>
      </c>
      <c r="Y242" s="3">
        <v>147.7</v>
      </c>
      <c r="Z242" s="3">
        <f t="shared" si="17"/>
        <v>451.3</v>
      </c>
      <c r="AA242" s="3">
        <v>131.7</v>
      </c>
      <c r="AB242" s="3">
        <v>140.3</v>
      </c>
      <c r="AC242" s="3">
        <v>153.7</v>
      </c>
      <c r="AD242" s="68">
        <f t="shared" si="18"/>
        <v>294</v>
      </c>
      <c r="AE242" s="3">
        <v>160.7</v>
      </c>
      <c r="AF242" s="3">
        <v>148.7</v>
      </c>
      <c r="AG242" s="3">
        <v>145.7</v>
      </c>
      <c r="AH242" s="3">
        <v>148.3</v>
      </c>
      <c r="AI242" s="3">
        <f t="shared" si="19"/>
        <v>3973</v>
      </c>
    </row>
    <row r="243" spans="1:35">
      <c r="A243" s="3" t="s">
        <v>16</v>
      </c>
      <c r="B243" s="3">
        <v>2019</v>
      </c>
      <c r="C243" s="3" t="s">
        <v>34</v>
      </c>
      <c r="D243" s="3">
        <v>143.5</v>
      </c>
      <c r="E243" s="3">
        <v>159.8</v>
      </c>
      <c r="F243" s="3">
        <v>144.7</v>
      </c>
      <c r="G243" s="3">
        <v>145.6</v>
      </c>
      <c r="H243" s="3">
        <v>121.1</v>
      </c>
      <c r="I243" s="3">
        <v>150.6</v>
      </c>
      <c r="J243" s="3">
        <v>207.2</v>
      </c>
      <c r="K243" s="3">
        <v>131.2</v>
      </c>
      <c r="L243" s="3">
        <v>114.8</v>
      </c>
      <c r="M243" s="3">
        <v>145.2</v>
      </c>
      <c r="N243" s="3">
        <v>130.2</v>
      </c>
      <c r="O243" s="3">
        <v>156.8</v>
      </c>
      <c r="P243" s="3">
        <v>151.9</v>
      </c>
      <c r="Q243" s="68">
        <f t="shared" si="15"/>
        <v>1902.6</v>
      </c>
      <c r="R243" s="3">
        <v>169.3</v>
      </c>
      <c r="S243" s="3">
        <v>145.9</v>
      </c>
      <c r="T243" s="3">
        <v>132.4</v>
      </c>
      <c r="U243" s="3">
        <v>143.9</v>
      </c>
      <c r="V243" s="69">
        <f t="shared" si="16"/>
        <v>422.2</v>
      </c>
      <c r="W243" s="3">
        <v>153</v>
      </c>
      <c r="X243" s="3">
        <v>138.7</v>
      </c>
      <c r="Y243" s="3">
        <v>128.9</v>
      </c>
      <c r="Z243" s="3">
        <f t="shared" si="17"/>
        <v>420.6</v>
      </c>
      <c r="AA243" s="3">
        <v>121.5</v>
      </c>
      <c r="AB243" s="3">
        <v>139.5</v>
      </c>
      <c r="AC243" s="3">
        <v>142.4</v>
      </c>
      <c r="AD243" s="68">
        <f t="shared" si="18"/>
        <v>281.9</v>
      </c>
      <c r="AE243" s="3">
        <v>151.7</v>
      </c>
      <c r="AF243" s="3">
        <v>136.2</v>
      </c>
      <c r="AG243" s="3">
        <v>136</v>
      </c>
      <c r="AH243" s="3">
        <v>146</v>
      </c>
      <c r="AI243" s="3">
        <f t="shared" si="19"/>
        <v>3888</v>
      </c>
    </row>
    <row r="244" spans="1:35">
      <c r="A244" s="3" t="s">
        <v>17</v>
      </c>
      <c r="B244" s="3">
        <v>2019</v>
      </c>
      <c r="C244" s="3" t="s">
        <v>34</v>
      </c>
      <c r="D244" s="3">
        <v>141.8</v>
      </c>
      <c r="E244" s="3">
        <v>161</v>
      </c>
      <c r="F244" s="3">
        <v>142.6</v>
      </c>
      <c r="G244" s="3">
        <v>146.2</v>
      </c>
      <c r="H244" s="3">
        <v>123.9</v>
      </c>
      <c r="I244" s="3">
        <v>148</v>
      </c>
      <c r="J244" s="3">
        <v>188.4</v>
      </c>
      <c r="K244" s="3">
        <v>132.5</v>
      </c>
      <c r="L244" s="3">
        <v>114</v>
      </c>
      <c r="M244" s="3">
        <v>145.4</v>
      </c>
      <c r="N244" s="3">
        <v>135.1</v>
      </c>
      <c r="O244" s="3">
        <v>157.1</v>
      </c>
      <c r="P244" s="3">
        <v>149.6</v>
      </c>
      <c r="Q244" s="68">
        <f t="shared" si="15"/>
        <v>1885.6</v>
      </c>
      <c r="R244" s="3">
        <v>167.1</v>
      </c>
      <c r="S244" s="3">
        <v>149.4</v>
      </c>
      <c r="T244" s="3">
        <v>140.8</v>
      </c>
      <c r="U244" s="3">
        <v>148.2</v>
      </c>
      <c r="V244" s="69">
        <f t="shared" si="16"/>
        <v>438.4</v>
      </c>
      <c r="W244" s="3">
        <v>153</v>
      </c>
      <c r="X244" s="3">
        <v>145</v>
      </c>
      <c r="Y244" s="3">
        <v>140.6</v>
      </c>
      <c r="Z244" s="3">
        <f t="shared" si="17"/>
        <v>438.6</v>
      </c>
      <c r="AA244" s="3">
        <v>126.3</v>
      </c>
      <c r="AB244" s="3">
        <v>140</v>
      </c>
      <c r="AC244" s="3">
        <v>149.4</v>
      </c>
      <c r="AD244" s="68">
        <f t="shared" si="18"/>
        <v>289.4</v>
      </c>
      <c r="AE244" s="3">
        <v>155.4</v>
      </c>
      <c r="AF244" s="3">
        <v>141.7</v>
      </c>
      <c r="AG244" s="3">
        <v>141</v>
      </c>
      <c r="AH244" s="3">
        <v>147.2</v>
      </c>
      <c r="AI244" s="3">
        <f t="shared" si="19"/>
        <v>3930.7</v>
      </c>
    </row>
    <row r="245" spans="1:35">
      <c r="A245" s="3" t="s">
        <v>14</v>
      </c>
      <c r="B245" s="3">
        <v>2019</v>
      </c>
      <c r="C245" s="3" t="s">
        <v>36</v>
      </c>
      <c r="D245" s="3">
        <v>141.8</v>
      </c>
      <c r="E245" s="3">
        <v>163.7</v>
      </c>
      <c r="F245" s="3">
        <v>143.8</v>
      </c>
      <c r="G245" s="3">
        <v>147.1</v>
      </c>
      <c r="H245" s="3">
        <v>126</v>
      </c>
      <c r="I245" s="3">
        <v>146.2</v>
      </c>
      <c r="J245" s="3">
        <v>191.4</v>
      </c>
      <c r="K245" s="3">
        <v>136.2</v>
      </c>
      <c r="L245" s="3">
        <v>113.8</v>
      </c>
      <c r="M245" s="3">
        <v>147.3</v>
      </c>
      <c r="N245" s="3">
        <v>138.7</v>
      </c>
      <c r="O245" s="3">
        <v>157.7</v>
      </c>
      <c r="P245" s="3">
        <v>150.9</v>
      </c>
      <c r="Q245" s="68">
        <f t="shared" si="15"/>
        <v>1904.6</v>
      </c>
      <c r="R245" s="3">
        <v>167.2</v>
      </c>
      <c r="S245" s="3">
        <v>152.3</v>
      </c>
      <c r="T245" s="3">
        <v>147</v>
      </c>
      <c r="U245" s="3">
        <v>151.5</v>
      </c>
      <c r="V245" s="69">
        <f t="shared" si="16"/>
        <v>450.8</v>
      </c>
      <c r="W245" s="75">
        <v>153.5</v>
      </c>
      <c r="X245" s="3">
        <v>150.9</v>
      </c>
      <c r="Y245" s="3">
        <v>148.4</v>
      </c>
      <c r="Z245" s="3">
        <f t="shared" si="17"/>
        <v>452.8</v>
      </c>
      <c r="AA245" s="3">
        <v>132.1</v>
      </c>
      <c r="AB245" s="3">
        <v>140.6</v>
      </c>
      <c r="AC245" s="3">
        <v>154.3</v>
      </c>
      <c r="AD245" s="68">
        <f t="shared" si="18"/>
        <v>294.9</v>
      </c>
      <c r="AE245" s="3">
        <v>160.8</v>
      </c>
      <c r="AF245" s="3">
        <v>149.1</v>
      </c>
      <c r="AG245" s="3">
        <v>146.1</v>
      </c>
      <c r="AH245" s="3">
        <v>149.9</v>
      </c>
      <c r="AI245" s="3">
        <f t="shared" si="19"/>
        <v>4008.3</v>
      </c>
    </row>
    <row r="246" spans="1:35">
      <c r="A246" s="3" t="s">
        <v>16</v>
      </c>
      <c r="B246" s="3">
        <v>2019</v>
      </c>
      <c r="C246" s="3" t="s">
        <v>36</v>
      </c>
      <c r="D246" s="3">
        <v>144.1</v>
      </c>
      <c r="E246" s="3">
        <v>162.4</v>
      </c>
      <c r="F246" s="3">
        <v>148.4</v>
      </c>
      <c r="G246" s="3">
        <v>145.9</v>
      </c>
      <c r="H246" s="3">
        <v>121.5</v>
      </c>
      <c r="I246" s="3">
        <v>148.8</v>
      </c>
      <c r="J246" s="3">
        <v>215.7</v>
      </c>
      <c r="K246" s="3">
        <v>134.6</v>
      </c>
      <c r="L246" s="3">
        <v>115</v>
      </c>
      <c r="M246" s="3">
        <v>146.3</v>
      </c>
      <c r="N246" s="3">
        <v>130.5</v>
      </c>
      <c r="O246" s="3">
        <v>157.2</v>
      </c>
      <c r="P246" s="3">
        <v>153.6</v>
      </c>
      <c r="Q246" s="68">
        <f t="shared" si="15"/>
        <v>1924</v>
      </c>
      <c r="R246" s="3">
        <v>169.9</v>
      </c>
      <c r="S246" s="3">
        <v>146.3</v>
      </c>
      <c r="T246" s="3">
        <v>132.6</v>
      </c>
      <c r="U246" s="3">
        <v>144.2</v>
      </c>
      <c r="V246" s="69">
        <f t="shared" si="16"/>
        <v>423.1</v>
      </c>
      <c r="W246" s="3">
        <v>153.5</v>
      </c>
      <c r="X246" s="3">
        <v>139.1</v>
      </c>
      <c r="Y246" s="3">
        <v>132.2</v>
      </c>
      <c r="Z246" s="3">
        <f t="shared" si="17"/>
        <v>424.8</v>
      </c>
      <c r="AA246" s="3">
        <v>121.7</v>
      </c>
      <c r="AB246" s="3">
        <v>139.8</v>
      </c>
      <c r="AC246" s="3">
        <v>142.8</v>
      </c>
      <c r="AD246" s="68">
        <f t="shared" si="18"/>
        <v>282.6</v>
      </c>
      <c r="AE246" s="3">
        <v>151.8</v>
      </c>
      <c r="AF246" s="3">
        <v>136.7</v>
      </c>
      <c r="AG246" s="3">
        <v>136.3</v>
      </c>
      <c r="AH246" s="3">
        <v>147</v>
      </c>
      <c r="AI246" s="3">
        <f t="shared" si="19"/>
        <v>3917.9</v>
      </c>
    </row>
    <row r="247" spans="1:35">
      <c r="A247" s="3" t="s">
        <v>17</v>
      </c>
      <c r="B247" s="3">
        <v>2019</v>
      </c>
      <c r="C247" s="3" t="s">
        <v>36</v>
      </c>
      <c r="D247" s="3">
        <v>142.5</v>
      </c>
      <c r="E247" s="3">
        <v>163.2</v>
      </c>
      <c r="F247" s="3">
        <v>145.6</v>
      </c>
      <c r="G247" s="3">
        <v>146.7</v>
      </c>
      <c r="H247" s="3">
        <v>124.3</v>
      </c>
      <c r="I247" s="3">
        <v>147.4</v>
      </c>
      <c r="J247" s="3">
        <v>199.6</v>
      </c>
      <c r="K247" s="3">
        <v>135.7</v>
      </c>
      <c r="L247" s="3">
        <v>114.2</v>
      </c>
      <c r="M247" s="3">
        <v>147</v>
      </c>
      <c r="N247" s="3">
        <v>135.3</v>
      </c>
      <c r="O247" s="3">
        <v>157.5</v>
      </c>
      <c r="P247" s="3">
        <v>151.9</v>
      </c>
      <c r="Q247" s="68">
        <f t="shared" si="15"/>
        <v>1910.9</v>
      </c>
      <c r="R247" s="3">
        <v>167.9</v>
      </c>
      <c r="S247" s="3">
        <v>149.9</v>
      </c>
      <c r="T247" s="3">
        <v>141</v>
      </c>
      <c r="U247" s="3">
        <v>148.6</v>
      </c>
      <c r="V247" s="69">
        <f t="shared" si="16"/>
        <v>439.5</v>
      </c>
      <c r="W247" s="3">
        <v>153.5</v>
      </c>
      <c r="X247" s="3">
        <v>145.3</v>
      </c>
      <c r="Y247" s="3">
        <v>142.3</v>
      </c>
      <c r="Z247" s="3">
        <f t="shared" si="17"/>
        <v>441.1</v>
      </c>
      <c r="AA247" s="3">
        <v>126.6</v>
      </c>
      <c r="AB247" s="3">
        <v>140.3</v>
      </c>
      <c r="AC247" s="3">
        <v>149.9</v>
      </c>
      <c r="AD247" s="68">
        <f t="shared" si="18"/>
        <v>290.2</v>
      </c>
      <c r="AE247" s="3">
        <v>155.5</v>
      </c>
      <c r="AF247" s="3">
        <v>142.1</v>
      </c>
      <c r="AG247" s="3">
        <v>141.3</v>
      </c>
      <c r="AH247" s="3">
        <v>148.6</v>
      </c>
      <c r="AI247" s="3">
        <f t="shared" si="19"/>
        <v>3963.7</v>
      </c>
    </row>
    <row r="248" spans="1:35">
      <c r="A248" s="3" t="s">
        <v>14</v>
      </c>
      <c r="B248" s="3">
        <v>2019</v>
      </c>
      <c r="C248" s="3" t="s">
        <v>37</v>
      </c>
      <c r="D248" s="3">
        <v>142.8</v>
      </c>
      <c r="E248" s="3">
        <v>165.3</v>
      </c>
      <c r="F248" s="3">
        <v>149.5</v>
      </c>
      <c r="G248" s="3">
        <v>148.7</v>
      </c>
      <c r="H248" s="3">
        <v>127.5</v>
      </c>
      <c r="I248" s="3">
        <v>144.3</v>
      </c>
      <c r="J248" s="3">
        <v>209.5</v>
      </c>
      <c r="K248" s="3">
        <v>138.8</v>
      </c>
      <c r="L248" s="3">
        <v>113.6</v>
      </c>
      <c r="M248" s="3">
        <v>149.1</v>
      </c>
      <c r="N248" s="3">
        <v>139.3</v>
      </c>
      <c r="O248" s="3">
        <v>158.3</v>
      </c>
      <c r="P248" s="3">
        <v>154.3</v>
      </c>
      <c r="Q248" s="68">
        <f t="shared" si="15"/>
        <v>1941</v>
      </c>
      <c r="R248" s="3">
        <v>167.8</v>
      </c>
      <c r="S248" s="3">
        <v>152.6</v>
      </c>
      <c r="T248" s="3">
        <v>147.3</v>
      </c>
      <c r="U248" s="3">
        <v>151.9</v>
      </c>
      <c r="V248" s="69">
        <f t="shared" si="16"/>
        <v>451.8</v>
      </c>
      <c r="W248" s="75">
        <v>152.8</v>
      </c>
      <c r="X248" s="3">
        <v>151.2</v>
      </c>
      <c r="Y248" s="3">
        <v>149.9</v>
      </c>
      <c r="Z248" s="3">
        <f t="shared" si="17"/>
        <v>453.9</v>
      </c>
      <c r="AA248" s="3">
        <v>135</v>
      </c>
      <c r="AB248" s="3">
        <v>140.6</v>
      </c>
      <c r="AC248" s="3">
        <v>154.8</v>
      </c>
      <c r="AD248" s="68">
        <f t="shared" si="18"/>
        <v>295.4</v>
      </c>
      <c r="AE248" s="3">
        <v>161.1</v>
      </c>
      <c r="AF248" s="3">
        <v>149.5</v>
      </c>
      <c r="AG248" s="3">
        <v>147.1</v>
      </c>
      <c r="AH248" s="3">
        <v>152.3</v>
      </c>
      <c r="AI248" s="3">
        <f t="shared" si="19"/>
        <v>4054.9</v>
      </c>
    </row>
    <row r="249" spans="1:35">
      <c r="A249" s="3" t="s">
        <v>16</v>
      </c>
      <c r="B249" s="3">
        <v>2019</v>
      </c>
      <c r="C249" s="3" t="s">
        <v>37</v>
      </c>
      <c r="D249" s="3">
        <v>144.9</v>
      </c>
      <c r="E249" s="3">
        <v>164.5</v>
      </c>
      <c r="F249" s="3">
        <v>153.7</v>
      </c>
      <c r="G249" s="3">
        <v>147.5</v>
      </c>
      <c r="H249" s="3">
        <v>122.7</v>
      </c>
      <c r="I249" s="3">
        <v>147.2</v>
      </c>
      <c r="J249" s="3">
        <v>231.5</v>
      </c>
      <c r="K249" s="3">
        <v>137.2</v>
      </c>
      <c r="L249" s="3">
        <v>114.7</v>
      </c>
      <c r="M249" s="3">
        <v>148</v>
      </c>
      <c r="N249" s="3">
        <v>130.8</v>
      </c>
      <c r="O249" s="3">
        <v>157.7</v>
      </c>
      <c r="P249" s="3">
        <v>156.3</v>
      </c>
      <c r="Q249" s="68">
        <f t="shared" si="15"/>
        <v>1956.7</v>
      </c>
      <c r="R249" s="3">
        <v>170.4</v>
      </c>
      <c r="S249" s="3">
        <v>146.8</v>
      </c>
      <c r="T249" s="3">
        <v>132.8</v>
      </c>
      <c r="U249" s="3">
        <v>144.6</v>
      </c>
      <c r="V249" s="69">
        <f t="shared" si="16"/>
        <v>424.2</v>
      </c>
      <c r="W249" s="3">
        <v>152.8</v>
      </c>
      <c r="X249" s="3">
        <v>139.8</v>
      </c>
      <c r="Y249" s="3">
        <v>133.6</v>
      </c>
      <c r="Z249" s="3">
        <f t="shared" si="17"/>
        <v>426.2</v>
      </c>
      <c r="AA249" s="3">
        <v>125.2</v>
      </c>
      <c r="AB249" s="3">
        <v>140.2</v>
      </c>
      <c r="AC249" s="3">
        <v>143.2</v>
      </c>
      <c r="AD249" s="68">
        <f t="shared" si="18"/>
        <v>283.4</v>
      </c>
      <c r="AE249" s="3">
        <v>151.9</v>
      </c>
      <c r="AF249" s="3">
        <v>136.8</v>
      </c>
      <c r="AG249" s="3">
        <v>137.7</v>
      </c>
      <c r="AH249" s="3">
        <v>148.3</v>
      </c>
      <c r="AI249" s="3">
        <f t="shared" si="19"/>
        <v>3960.8</v>
      </c>
    </row>
    <row r="250" spans="1:35">
      <c r="A250" s="3" t="s">
        <v>17</v>
      </c>
      <c r="B250" s="3">
        <v>2019</v>
      </c>
      <c r="C250" s="3" t="s">
        <v>37</v>
      </c>
      <c r="D250" s="3">
        <v>143.5</v>
      </c>
      <c r="E250" s="3">
        <v>165</v>
      </c>
      <c r="F250" s="3">
        <v>151.1</v>
      </c>
      <c r="G250" s="3">
        <v>148.3</v>
      </c>
      <c r="H250" s="3">
        <v>125.7</v>
      </c>
      <c r="I250" s="3">
        <v>145.7</v>
      </c>
      <c r="J250" s="3">
        <v>217</v>
      </c>
      <c r="K250" s="3">
        <v>138.3</v>
      </c>
      <c r="L250" s="3">
        <v>114</v>
      </c>
      <c r="M250" s="3">
        <v>148.7</v>
      </c>
      <c r="N250" s="3">
        <v>135.8</v>
      </c>
      <c r="O250" s="3">
        <v>158</v>
      </c>
      <c r="P250" s="3">
        <v>155</v>
      </c>
      <c r="Q250" s="68">
        <f t="shared" si="15"/>
        <v>1946.1</v>
      </c>
      <c r="R250" s="3">
        <v>168.5</v>
      </c>
      <c r="S250" s="3">
        <v>150.3</v>
      </c>
      <c r="T250" s="3">
        <v>141.3</v>
      </c>
      <c r="U250" s="3">
        <v>149</v>
      </c>
      <c r="V250" s="69">
        <f t="shared" si="16"/>
        <v>440.6</v>
      </c>
      <c r="W250" s="3">
        <v>152.8</v>
      </c>
      <c r="X250" s="3">
        <v>145.8</v>
      </c>
      <c r="Y250" s="3">
        <v>143.7</v>
      </c>
      <c r="Z250" s="3">
        <f t="shared" si="17"/>
        <v>442.3</v>
      </c>
      <c r="AA250" s="3">
        <v>129.8</v>
      </c>
      <c r="AB250" s="3">
        <v>140.4</v>
      </c>
      <c r="AC250" s="3">
        <v>150.4</v>
      </c>
      <c r="AD250" s="68">
        <f t="shared" si="18"/>
        <v>290.8</v>
      </c>
      <c r="AE250" s="3">
        <v>155.7</v>
      </c>
      <c r="AF250" s="3">
        <v>142.3</v>
      </c>
      <c r="AG250" s="3">
        <v>142.5</v>
      </c>
      <c r="AH250" s="3">
        <v>150.4</v>
      </c>
      <c r="AI250" s="3">
        <f t="shared" si="19"/>
        <v>4009</v>
      </c>
    </row>
    <row r="251" spans="1:35">
      <c r="A251" s="3" t="s">
        <v>14</v>
      </c>
      <c r="B251" s="3">
        <v>2020</v>
      </c>
      <c r="C251" s="3" t="s">
        <v>19</v>
      </c>
      <c r="D251" s="3">
        <v>143.7</v>
      </c>
      <c r="E251" s="3">
        <v>167.3</v>
      </c>
      <c r="F251" s="3">
        <v>153.5</v>
      </c>
      <c r="G251" s="3">
        <v>150.5</v>
      </c>
      <c r="H251" s="3">
        <v>132</v>
      </c>
      <c r="I251" s="3">
        <v>142.2</v>
      </c>
      <c r="J251" s="3">
        <v>191.5</v>
      </c>
      <c r="K251" s="3">
        <v>141.1</v>
      </c>
      <c r="L251" s="3">
        <v>113.8</v>
      </c>
      <c r="M251" s="3">
        <v>151.6</v>
      </c>
      <c r="N251" s="3">
        <v>139.7</v>
      </c>
      <c r="O251" s="3">
        <v>158.7</v>
      </c>
      <c r="P251" s="3">
        <v>153</v>
      </c>
      <c r="Q251" s="68">
        <f t="shared" si="15"/>
        <v>1938.6</v>
      </c>
      <c r="R251" s="3">
        <v>168.6</v>
      </c>
      <c r="S251" s="3">
        <v>152.8</v>
      </c>
      <c r="T251" s="3">
        <v>147.4</v>
      </c>
      <c r="U251" s="3">
        <v>152.1</v>
      </c>
      <c r="V251" s="69">
        <f t="shared" si="16"/>
        <v>452.3</v>
      </c>
      <c r="W251" s="75">
        <v>153.9</v>
      </c>
      <c r="X251" s="3">
        <v>151.7</v>
      </c>
      <c r="Y251" s="3">
        <v>150.4</v>
      </c>
      <c r="Z251" s="3">
        <f t="shared" si="17"/>
        <v>456</v>
      </c>
      <c r="AA251" s="3">
        <v>136.3</v>
      </c>
      <c r="AB251" s="3">
        <v>142.5</v>
      </c>
      <c r="AC251" s="3">
        <v>155.7</v>
      </c>
      <c r="AD251" s="68">
        <f t="shared" si="18"/>
        <v>298.2</v>
      </c>
      <c r="AE251" s="3">
        <v>161.7</v>
      </c>
      <c r="AF251" s="3">
        <v>150.1</v>
      </c>
      <c r="AG251" s="3">
        <v>148.1</v>
      </c>
      <c r="AH251" s="3">
        <v>151.9</v>
      </c>
      <c r="AI251" s="3">
        <f t="shared" si="19"/>
        <v>4061.8</v>
      </c>
    </row>
    <row r="252" spans="1:35">
      <c r="A252" s="3" t="s">
        <v>16</v>
      </c>
      <c r="B252" s="3">
        <v>2020</v>
      </c>
      <c r="C252" s="3" t="s">
        <v>19</v>
      </c>
      <c r="D252" s="3">
        <v>145.6</v>
      </c>
      <c r="E252" s="3">
        <v>167.6</v>
      </c>
      <c r="F252" s="3">
        <v>157</v>
      </c>
      <c r="G252" s="3">
        <v>149.3</v>
      </c>
      <c r="H252" s="3">
        <v>126.3</v>
      </c>
      <c r="I252" s="3">
        <v>144.4</v>
      </c>
      <c r="J252" s="3">
        <v>207.8</v>
      </c>
      <c r="K252" s="3">
        <v>139.1</v>
      </c>
      <c r="L252" s="3">
        <v>114.8</v>
      </c>
      <c r="M252" s="3">
        <v>149.5</v>
      </c>
      <c r="N252" s="3">
        <v>131.1</v>
      </c>
      <c r="O252" s="3">
        <v>158.5</v>
      </c>
      <c r="P252" s="3">
        <v>154.4</v>
      </c>
      <c r="Q252" s="68">
        <f t="shared" si="15"/>
        <v>1945.4</v>
      </c>
      <c r="R252" s="3">
        <v>170.8</v>
      </c>
      <c r="S252" s="3">
        <v>147</v>
      </c>
      <c r="T252" s="3">
        <v>133.2</v>
      </c>
      <c r="U252" s="3">
        <v>144.9</v>
      </c>
      <c r="V252" s="69">
        <f t="shared" si="16"/>
        <v>425.1</v>
      </c>
      <c r="W252" s="3">
        <v>153.9</v>
      </c>
      <c r="X252" s="3">
        <v>140.1</v>
      </c>
      <c r="Y252" s="3">
        <v>135.1</v>
      </c>
      <c r="Z252" s="3">
        <f t="shared" si="17"/>
        <v>429.1</v>
      </c>
      <c r="AA252" s="3">
        <v>126.1</v>
      </c>
      <c r="AB252" s="3">
        <v>142.1</v>
      </c>
      <c r="AC252" s="3">
        <v>143.8</v>
      </c>
      <c r="AD252" s="68">
        <f t="shared" si="18"/>
        <v>285.9</v>
      </c>
      <c r="AE252" s="3">
        <v>152.1</v>
      </c>
      <c r="AF252" s="3">
        <v>137.2</v>
      </c>
      <c r="AG252" s="3">
        <v>138.4</v>
      </c>
      <c r="AH252" s="3">
        <v>148.2</v>
      </c>
      <c r="AI252" s="3">
        <f t="shared" si="19"/>
        <v>3958.3</v>
      </c>
    </row>
    <row r="253" spans="1:35">
      <c r="A253" s="3" t="s">
        <v>17</v>
      </c>
      <c r="B253" s="3">
        <v>2020</v>
      </c>
      <c r="C253" s="3" t="s">
        <v>19</v>
      </c>
      <c r="D253" s="3">
        <v>144.3</v>
      </c>
      <c r="E253" s="3">
        <v>167.4</v>
      </c>
      <c r="F253" s="3">
        <v>154.9</v>
      </c>
      <c r="G253" s="3">
        <v>150.1</v>
      </c>
      <c r="H253" s="3">
        <v>129.9</v>
      </c>
      <c r="I253" s="3">
        <v>143.2</v>
      </c>
      <c r="J253" s="3">
        <v>197</v>
      </c>
      <c r="K253" s="3">
        <v>140.4</v>
      </c>
      <c r="L253" s="3">
        <v>114.1</v>
      </c>
      <c r="M253" s="3">
        <v>150.9</v>
      </c>
      <c r="N253" s="3">
        <v>136.1</v>
      </c>
      <c r="O253" s="3">
        <v>158.6</v>
      </c>
      <c r="P253" s="3">
        <v>153.5</v>
      </c>
      <c r="Q253" s="68">
        <f t="shared" si="15"/>
        <v>1940.4</v>
      </c>
      <c r="R253" s="3">
        <v>169.2</v>
      </c>
      <c r="S253" s="3">
        <v>150.5</v>
      </c>
      <c r="T253" s="3">
        <v>141.5</v>
      </c>
      <c r="U253" s="3">
        <v>149.2</v>
      </c>
      <c r="V253" s="69">
        <f t="shared" si="16"/>
        <v>441.2</v>
      </c>
      <c r="W253" s="3">
        <v>153.9</v>
      </c>
      <c r="X253" s="3">
        <v>146.2</v>
      </c>
      <c r="Y253" s="3">
        <v>144.6</v>
      </c>
      <c r="Z253" s="3">
        <f t="shared" si="17"/>
        <v>444.7</v>
      </c>
      <c r="AA253" s="3">
        <v>130.9</v>
      </c>
      <c r="AB253" s="3">
        <v>142.3</v>
      </c>
      <c r="AC253" s="3">
        <v>151.2</v>
      </c>
      <c r="AD253" s="68">
        <f t="shared" si="18"/>
        <v>293.5</v>
      </c>
      <c r="AE253" s="3">
        <v>156.1</v>
      </c>
      <c r="AF253" s="3">
        <v>142.8</v>
      </c>
      <c r="AG253" s="3">
        <v>143.4</v>
      </c>
      <c r="AH253" s="3">
        <v>150.2</v>
      </c>
      <c r="AI253" s="3">
        <f t="shared" si="19"/>
        <v>4012.4</v>
      </c>
    </row>
    <row r="254" spans="1:35">
      <c r="A254" s="3" t="s">
        <v>14</v>
      </c>
      <c r="B254" s="3">
        <v>2020</v>
      </c>
      <c r="C254" s="3" t="s">
        <v>20</v>
      </c>
      <c r="D254" s="3">
        <v>144.2</v>
      </c>
      <c r="E254" s="3">
        <v>167.5</v>
      </c>
      <c r="F254" s="3">
        <v>150.9</v>
      </c>
      <c r="G254" s="3">
        <v>150.9</v>
      </c>
      <c r="H254" s="3">
        <v>133.7</v>
      </c>
      <c r="I254" s="3">
        <v>140.7</v>
      </c>
      <c r="J254" s="3">
        <v>165.1</v>
      </c>
      <c r="K254" s="3">
        <v>141.8</v>
      </c>
      <c r="L254" s="3">
        <v>113.1</v>
      </c>
      <c r="M254" s="3">
        <v>152.8</v>
      </c>
      <c r="N254" s="3">
        <v>140.1</v>
      </c>
      <c r="O254" s="3">
        <v>159.2</v>
      </c>
      <c r="P254" s="3">
        <v>149.8</v>
      </c>
      <c r="Q254" s="68">
        <f t="shared" si="15"/>
        <v>1909.8</v>
      </c>
      <c r="R254" s="3">
        <v>169.4</v>
      </c>
      <c r="S254" s="3">
        <v>153</v>
      </c>
      <c r="T254" s="3">
        <v>147.5</v>
      </c>
      <c r="U254" s="3">
        <v>152.3</v>
      </c>
      <c r="V254" s="69">
        <f t="shared" si="16"/>
        <v>452.8</v>
      </c>
      <c r="W254" s="75">
        <v>154.8</v>
      </c>
      <c r="X254" s="3">
        <v>151.8</v>
      </c>
      <c r="Y254" s="3">
        <v>152.3</v>
      </c>
      <c r="Z254" s="3">
        <f t="shared" si="17"/>
        <v>458.9</v>
      </c>
      <c r="AA254" s="3">
        <v>136</v>
      </c>
      <c r="AB254" s="3">
        <v>143.4</v>
      </c>
      <c r="AC254" s="3">
        <v>156.2</v>
      </c>
      <c r="AD254" s="68">
        <f t="shared" si="18"/>
        <v>299.6</v>
      </c>
      <c r="AE254" s="3">
        <v>161.9</v>
      </c>
      <c r="AF254" s="3">
        <v>150.4</v>
      </c>
      <c r="AG254" s="3">
        <v>148.4</v>
      </c>
      <c r="AH254" s="3">
        <v>150.4</v>
      </c>
      <c r="AI254" s="3">
        <f t="shared" si="19"/>
        <v>4037.6</v>
      </c>
    </row>
    <row r="255" spans="1:35">
      <c r="A255" s="3" t="s">
        <v>16</v>
      </c>
      <c r="B255" s="3">
        <v>2020</v>
      </c>
      <c r="C255" s="3" t="s">
        <v>20</v>
      </c>
      <c r="D255" s="3">
        <v>146.2</v>
      </c>
      <c r="E255" s="3">
        <v>167.6</v>
      </c>
      <c r="F255" s="3">
        <v>153.1</v>
      </c>
      <c r="G255" s="3">
        <v>150.7</v>
      </c>
      <c r="H255" s="3">
        <v>127.4</v>
      </c>
      <c r="I255" s="3">
        <v>143.1</v>
      </c>
      <c r="J255" s="3">
        <v>181.7</v>
      </c>
      <c r="K255" s="3">
        <v>139.6</v>
      </c>
      <c r="L255" s="3">
        <v>114.6</v>
      </c>
      <c r="M255" s="3">
        <v>150.4</v>
      </c>
      <c r="N255" s="3">
        <v>131.5</v>
      </c>
      <c r="O255" s="3">
        <v>159</v>
      </c>
      <c r="P255" s="3">
        <v>151.7</v>
      </c>
      <c r="Q255" s="68">
        <f t="shared" si="15"/>
        <v>1916.6</v>
      </c>
      <c r="R255" s="3">
        <v>172</v>
      </c>
      <c r="S255" s="3">
        <v>147.3</v>
      </c>
      <c r="T255" s="3">
        <v>133.5</v>
      </c>
      <c r="U255" s="3">
        <v>145.2</v>
      </c>
      <c r="V255" s="69">
        <f t="shared" si="16"/>
        <v>426</v>
      </c>
      <c r="W255" s="3">
        <v>154.8</v>
      </c>
      <c r="X255" s="3">
        <v>140.4</v>
      </c>
      <c r="Y255" s="3">
        <v>138.9</v>
      </c>
      <c r="Z255" s="3">
        <f t="shared" si="17"/>
        <v>434.1</v>
      </c>
      <c r="AA255" s="3">
        <v>125.2</v>
      </c>
      <c r="AB255" s="3">
        <v>143.5</v>
      </c>
      <c r="AC255" s="3">
        <v>144.4</v>
      </c>
      <c r="AD255" s="68">
        <f t="shared" si="18"/>
        <v>287.9</v>
      </c>
      <c r="AE255" s="3">
        <v>152.2</v>
      </c>
      <c r="AF255" s="3">
        <v>137.7</v>
      </c>
      <c r="AG255" s="3">
        <v>138.4</v>
      </c>
      <c r="AH255" s="3">
        <v>147.7</v>
      </c>
      <c r="AI255" s="3">
        <f t="shared" si="19"/>
        <v>3937.8</v>
      </c>
    </row>
    <row r="256" spans="1:35">
      <c r="A256" s="3" t="s">
        <v>17</v>
      </c>
      <c r="B256" s="3">
        <v>2020</v>
      </c>
      <c r="C256" s="3" t="s">
        <v>20</v>
      </c>
      <c r="D256" s="3">
        <v>144.8</v>
      </c>
      <c r="E256" s="3">
        <v>167.5</v>
      </c>
      <c r="F256" s="3">
        <v>151.8</v>
      </c>
      <c r="G256" s="3">
        <v>150.8</v>
      </c>
      <c r="H256" s="3">
        <v>131.4</v>
      </c>
      <c r="I256" s="3">
        <v>141.8</v>
      </c>
      <c r="J256" s="3">
        <v>170.7</v>
      </c>
      <c r="K256" s="3">
        <v>141.1</v>
      </c>
      <c r="L256" s="3">
        <v>113.6</v>
      </c>
      <c r="M256" s="3">
        <v>152</v>
      </c>
      <c r="N256" s="3">
        <v>136.5</v>
      </c>
      <c r="O256" s="3">
        <v>159.1</v>
      </c>
      <c r="P256" s="3">
        <v>150.5</v>
      </c>
      <c r="Q256" s="68">
        <f t="shared" si="15"/>
        <v>1911.6</v>
      </c>
      <c r="R256" s="3">
        <v>170.1</v>
      </c>
      <c r="S256" s="3">
        <v>150.8</v>
      </c>
      <c r="T256" s="3">
        <v>141.7</v>
      </c>
      <c r="U256" s="3">
        <v>149.5</v>
      </c>
      <c r="V256" s="69">
        <f t="shared" si="16"/>
        <v>442</v>
      </c>
      <c r="W256" s="3">
        <v>154.8</v>
      </c>
      <c r="X256" s="3">
        <v>146.4</v>
      </c>
      <c r="Y256" s="3">
        <v>147.2</v>
      </c>
      <c r="Z256" s="3">
        <f t="shared" si="17"/>
        <v>448.4</v>
      </c>
      <c r="AA256" s="3">
        <v>130.3</v>
      </c>
      <c r="AB256" s="3">
        <v>143.4</v>
      </c>
      <c r="AC256" s="3">
        <v>151.7</v>
      </c>
      <c r="AD256" s="68">
        <f t="shared" si="18"/>
        <v>295.1</v>
      </c>
      <c r="AE256" s="3">
        <v>156.2</v>
      </c>
      <c r="AF256" s="3">
        <v>143.2</v>
      </c>
      <c r="AG256" s="3">
        <v>143.6</v>
      </c>
      <c r="AH256" s="3">
        <v>149.1</v>
      </c>
      <c r="AI256" s="3">
        <f t="shared" si="19"/>
        <v>3989.6</v>
      </c>
    </row>
    <row r="257" spans="1:35">
      <c r="A257" s="3" t="s">
        <v>14</v>
      </c>
      <c r="B257" s="3">
        <v>2020</v>
      </c>
      <c r="C257" s="3" t="s">
        <v>26</v>
      </c>
      <c r="D257" s="3">
        <v>144.4</v>
      </c>
      <c r="E257" s="3">
        <v>166.8</v>
      </c>
      <c r="F257" s="3">
        <v>147.6</v>
      </c>
      <c r="G257" s="3">
        <v>151.7</v>
      </c>
      <c r="H257" s="3">
        <v>133.3</v>
      </c>
      <c r="I257" s="3">
        <v>141.8</v>
      </c>
      <c r="J257" s="3">
        <v>152.3</v>
      </c>
      <c r="K257" s="3">
        <v>141.8</v>
      </c>
      <c r="L257" s="3">
        <v>112.6</v>
      </c>
      <c r="M257" s="3">
        <v>154</v>
      </c>
      <c r="N257" s="3">
        <v>140.1</v>
      </c>
      <c r="O257" s="3">
        <v>160</v>
      </c>
      <c r="P257" s="3">
        <v>148.2</v>
      </c>
      <c r="Q257" s="68">
        <f t="shared" si="15"/>
        <v>1894.6</v>
      </c>
      <c r="R257" s="3">
        <v>170.5</v>
      </c>
      <c r="S257" s="3">
        <v>153.4</v>
      </c>
      <c r="T257" s="3">
        <v>147.6</v>
      </c>
      <c r="U257" s="3">
        <v>152.5</v>
      </c>
      <c r="V257" s="69">
        <f t="shared" si="16"/>
        <v>453.5</v>
      </c>
      <c r="W257" s="75">
        <v>154.5</v>
      </c>
      <c r="X257" s="3">
        <v>151.5</v>
      </c>
      <c r="Y257" s="3">
        <v>153.4</v>
      </c>
      <c r="Z257" s="3">
        <f t="shared" si="17"/>
        <v>459.4</v>
      </c>
      <c r="AA257" s="3">
        <v>135.8</v>
      </c>
      <c r="AB257" s="3">
        <v>145.1</v>
      </c>
      <c r="AC257" s="3">
        <v>156.7</v>
      </c>
      <c r="AD257" s="68">
        <f t="shared" si="18"/>
        <v>301.8</v>
      </c>
      <c r="AE257" s="3">
        <v>161.2</v>
      </c>
      <c r="AF257" s="3">
        <v>151.2</v>
      </c>
      <c r="AG257" s="3">
        <v>148.6</v>
      </c>
      <c r="AH257" s="3">
        <v>149.8</v>
      </c>
      <c r="AI257" s="3">
        <f t="shared" si="19"/>
        <v>4026.4</v>
      </c>
    </row>
    <row r="258" spans="1:35">
      <c r="A258" s="3" t="s">
        <v>16</v>
      </c>
      <c r="B258" s="3">
        <v>2020</v>
      </c>
      <c r="C258" s="3" t="s">
        <v>26</v>
      </c>
      <c r="D258" s="3">
        <v>146.5</v>
      </c>
      <c r="E258" s="3">
        <v>167.5</v>
      </c>
      <c r="F258" s="3">
        <v>148.9</v>
      </c>
      <c r="G258" s="3">
        <v>151.1</v>
      </c>
      <c r="H258" s="3">
        <v>127.5</v>
      </c>
      <c r="I258" s="3">
        <v>143.3</v>
      </c>
      <c r="J258" s="3">
        <v>167</v>
      </c>
      <c r="K258" s="3">
        <v>139.7</v>
      </c>
      <c r="L258" s="3">
        <v>114.4</v>
      </c>
      <c r="M258" s="3">
        <v>151.5</v>
      </c>
      <c r="N258" s="3">
        <v>131.9</v>
      </c>
      <c r="O258" s="3">
        <v>159.1</v>
      </c>
      <c r="P258" s="3">
        <v>150.1</v>
      </c>
      <c r="Q258" s="68">
        <f t="shared" si="15"/>
        <v>1898.5</v>
      </c>
      <c r="R258" s="3">
        <v>173.3</v>
      </c>
      <c r="S258" s="3">
        <v>147.7</v>
      </c>
      <c r="T258" s="3">
        <v>133.8</v>
      </c>
      <c r="U258" s="3">
        <v>145.6</v>
      </c>
      <c r="V258" s="69">
        <f t="shared" si="16"/>
        <v>427.1</v>
      </c>
      <c r="W258" s="3">
        <v>154.5</v>
      </c>
      <c r="X258" s="3">
        <v>140.8</v>
      </c>
      <c r="Y258" s="3">
        <v>141.4</v>
      </c>
      <c r="Z258" s="3">
        <f t="shared" si="17"/>
        <v>436.7</v>
      </c>
      <c r="AA258" s="3">
        <v>124.6</v>
      </c>
      <c r="AB258" s="3">
        <v>145.3</v>
      </c>
      <c r="AC258" s="3">
        <v>145</v>
      </c>
      <c r="AD258" s="68">
        <f t="shared" si="18"/>
        <v>290.3</v>
      </c>
      <c r="AE258" s="3">
        <v>152.5</v>
      </c>
      <c r="AF258" s="3">
        <v>137.9</v>
      </c>
      <c r="AG258" s="3">
        <v>138.7</v>
      </c>
      <c r="AH258" s="3">
        <v>147.3</v>
      </c>
      <c r="AI258" s="3">
        <f t="shared" si="19"/>
        <v>3926.9</v>
      </c>
    </row>
    <row r="259" spans="1:35">
      <c r="A259" s="3" t="s">
        <v>17</v>
      </c>
      <c r="B259" s="3">
        <v>2020</v>
      </c>
      <c r="C259" s="3" t="s">
        <v>26</v>
      </c>
      <c r="D259" s="3">
        <v>145.1</v>
      </c>
      <c r="E259" s="3">
        <v>167</v>
      </c>
      <c r="F259" s="3">
        <v>148.1</v>
      </c>
      <c r="G259" s="3">
        <v>151.5</v>
      </c>
      <c r="H259" s="3">
        <v>131.2</v>
      </c>
      <c r="I259" s="3">
        <v>142.5</v>
      </c>
      <c r="J259" s="3">
        <v>157.3</v>
      </c>
      <c r="K259" s="3">
        <v>141.1</v>
      </c>
      <c r="L259" s="3">
        <v>113.2</v>
      </c>
      <c r="M259" s="3">
        <v>153.2</v>
      </c>
      <c r="N259" s="3">
        <v>136.7</v>
      </c>
      <c r="O259" s="3">
        <v>159.6</v>
      </c>
      <c r="P259" s="3">
        <v>148.9</v>
      </c>
      <c r="Q259" s="68">
        <f t="shared" ref="Q259:Q322" si="20">SUM(D259:P259)</f>
        <v>1895.4</v>
      </c>
      <c r="R259" s="3">
        <v>171.2</v>
      </c>
      <c r="S259" s="3">
        <v>151.2</v>
      </c>
      <c r="T259" s="3">
        <v>141.9</v>
      </c>
      <c r="U259" s="3">
        <v>149.8</v>
      </c>
      <c r="V259" s="69">
        <f t="shared" ref="V259:V322" si="21">SUM(S259:U259)</f>
        <v>442.9</v>
      </c>
      <c r="W259" s="3">
        <v>154.5</v>
      </c>
      <c r="X259" s="3">
        <v>146.4</v>
      </c>
      <c r="Y259" s="3">
        <v>148.9</v>
      </c>
      <c r="Z259" s="3">
        <f t="shared" ref="Z259:Z322" si="22">W259+X259+Y259</f>
        <v>449.8</v>
      </c>
      <c r="AA259" s="3">
        <v>129.9</v>
      </c>
      <c r="AB259" s="3">
        <v>145.2</v>
      </c>
      <c r="AC259" s="3">
        <v>152.3</v>
      </c>
      <c r="AD259" s="68">
        <f t="shared" ref="AD259:AD322" si="23">SUM(AB259:AC259)</f>
        <v>297.5</v>
      </c>
      <c r="AE259" s="3">
        <v>156.1</v>
      </c>
      <c r="AF259" s="3">
        <v>143.7</v>
      </c>
      <c r="AG259" s="3">
        <v>143.8</v>
      </c>
      <c r="AH259" s="3">
        <v>148.6</v>
      </c>
      <c r="AI259" s="3">
        <f t="shared" ref="AI259:AI322" si="24">SUM(Q259,R259,V259,Z259,AA259,AD259,AE259,AF259,AG259,AH259)</f>
        <v>3978.9</v>
      </c>
    </row>
    <row r="260" spans="1:35">
      <c r="A260" s="77" t="s">
        <v>14</v>
      </c>
      <c r="B260" s="77">
        <v>2020</v>
      </c>
      <c r="C260" s="77" t="s">
        <v>29</v>
      </c>
      <c r="D260" s="77">
        <v>147.2</v>
      </c>
      <c r="E260" s="77">
        <f t="shared" ref="E260:E262" si="25">AVERAGE(E257:E259)</f>
        <v>167.1</v>
      </c>
      <c r="F260" s="77">
        <v>146.9</v>
      </c>
      <c r="G260" s="77">
        <v>155.6</v>
      </c>
      <c r="H260" s="77">
        <v>137.1</v>
      </c>
      <c r="I260" s="77">
        <v>147.3</v>
      </c>
      <c r="J260" s="77">
        <v>162.7</v>
      </c>
      <c r="K260" s="77">
        <v>150.2</v>
      </c>
      <c r="L260" s="77">
        <v>119.8</v>
      </c>
      <c r="M260" s="77">
        <v>158.7</v>
      </c>
      <c r="N260" s="77">
        <v>139.2</v>
      </c>
      <c r="O260" s="77">
        <f t="shared" ref="O260:U260" si="26">ROUND(AVERAGE(O257:O259),1)</f>
        <v>159.6</v>
      </c>
      <c r="P260" s="77">
        <v>150.1</v>
      </c>
      <c r="Q260" s="68">
        <f t="shared" si="20"/>
        <v>1941.5</v>
      </c>
      <c r="R260" s="77">
        <f t="shared" si="26"/>
        <v>171.7</v>
      </c>
      <c r="S260" s="77">
        <f t="shared" si="26"/>
        <v>150.8</v>
      </c>
      <c r="T260" s="77">
        <f t="shared" si="26"/>
        <v>141.1</v>
      </c>
      <c r="U260" s="77">
        <f t="shared" si="26"/>
        <v>149.3</v>
      </c>
      <c r="V260" s="69">
        <f t="shared" si="21"/>
        <v>441.2</v>
      </c>
      <c r="W260" s="75">
        <v>155.6</v>
      </c>
      <c r="X260" s="77">
        <f>ROUND(AVERAGE(X257:X259),1)</f>
        <v>146.2</v>
      </c>
      <c r="Y260" s="77">
        <v>148.4</v>
      </c>
      <c r="Z260" s="3">
        <f t="shared" si="22"/>
        <v>450.2</v>
      </c>
      <c r="AA260" s="77">
        <f>ROUND(AVERAGE(AA257:AA259),1)</f>
        <v>130.1</v>
      </c>
      <c r="AB260" s="77">
        <f>ROUND(AVERAGE(AB257:AB259),1)</f>
        <v>145.2</v>
      </c>
      <c r="AC260" s="77">
        <v>154.3</v>
      </c>
      <c r="AD260" s="68">
        <f t="shared" si="23"/>
        <v>299.5</v>
      </c>
      <c r="AE260" s="77">
        <f t="shared" ref="AE260:AH260" si="27">ROUND(AVERAGE(AE257:AE259),1)</f>
        <v>156.6</v>
      </c>
      <c r="AF260" s="77">
        <f t="shared" si="27"/>
        <v>144.3</v>
      </c>
      <c r="AG260" s="77">
        <f t="shared" si="27"/>
        <v>143.7</v>
      </c>
      <c r="AH260" s="77">
        <f t="shared" si="27"/>
        <v>148.6</v>
      </c>
      <c r="AI260" s="3">
        <f t="shared" si="24"/>
        <v>4027.4</v>
      </c>
    </row>
    <row r="261" spans="1:35">
      <c r="A261" s="77" t="s">
        <v>16</v>
      </c>
      <c r="B261" s="77">
        <v>2020</v>
      </c>
      <c r="C261" s="77" t="s">
        <v>29</v>
      </c>
      <c r="D261" s="77">
        <v>151.8</v>
      </c>
      <c r="E261" s="77">
        <f t="shared" si="25"/>
        <v>167.2</v>
      </c>
      <c r="F261" s="77">
        <v>151.9</v>
      </c>
      <c r="G261" s="77">
        <v>155.5</v>
      </c>
      <c r="H261" s="77">
        <v>131.6</v>
      </c>
      <c r="I261" s="77">
        <v>152.9</v>
      </c>
      <c r="J261" s="77">
        <v>180</v>
      </c>
      <c r="K261" s="77">
        <v>150.8</v>
      </c>
      <c r="L261" s="77">
        <v>121.2</v>
      </c>
      <c r="M261" s="77">
        <v>154</v>
      </c>
      <c r="N261" s="77">
        <v>133.5</v>
      </c>
      <c r="O261" s="77">
        <f t="shared" ref="O261:U261" si="28">ROUND(AVERAGE(O258:O260),1)</f>
        <v>159.4</v>
      </c>
      <c r="P261" s="77">
        <v>153.5</v>
      </c>
      <c r="Q261" s="68">
        <f t="shared" si="20"/>
        <v>1963.3</v>
      </c>
      <c r="R261" s="77">
        <f t="shared" si="28"/>
        <v>172.1</v>
      </c>
      <c r="S261" s="77">
        <f t="shared" si="28"/>
        <v>149.9</v>
      </c>
      <c r="T261" s="77">
        <f t="shared" si="28"/>
        <v>138.9</v>
      </c>
      <c r="U261" s="77">
        <f t="shared" si="28"/>
        <v>148.2</v>
      </c>
      <c r="V261" s="69">
        <f t="shared" si="21"/>
        <v>437</v>
      </c>
      <c r="W261" s="77">
        <v>155.6</v>
      </c>
      <c r="X261" s="77">
        <f>ROUND(AVERAGE(X258:X260),1)</f>
        <v>144.5</v>
      </c>
      <c r="Y261" s="77">
        <v>137.1</v>
      </c>
      <c r="Z261" s="3">
        <f t="shared" si="22"/>
        <v>437.2</v>
      </c>
      <c r="AA261" s="77">
        <f>ROUND(AVERAGE(AA258:AA260),1)</f>
        <v>128.2</v>
      </c>
      <c r="AB261" s="77">
        <f>ROUND(AVERAGE(AB258:AB260),1)</f>
        <v>145.2</v>
      </c>
      <c r="AC261" s="77">
        <v>144.8</v>
      </c>
      <c r="AD261" s="68">
        <f t="shared" si="23"/>
        <v>290</v>
      </c>
      <c r="AE261" s="77">
        <f t="shared" ref="AE261:AH261" si="29">ROUND(AVERAGE(AE258:AE260),1)</f>
        <v>155.1</v>
      </c>
      <c r="AF261" s="77">
        <f t="shared" si="29"/>
        <v>142</v>
      </c>
      <c r="AG261" s="77">
        <f t="shared" si="29"/>
        <v>142.1</v>
      </c>
      <c r="AH261" s="77">
        <f t="shared" si="29"/>
        <v>148.2</v>
      </c>
      <c r="AI261" s="3">
        <f t="shared" si="24"/>
        <v>4015.2</v>
      </c>
    </row>
    <row r="262" spans="1:35">
      <c r="A262" s="77" t="s">
        <v>17</v>
      </c>
      <c r="B262" s="77">
        <v>2020</v>
      </c>
      <c r="C262" s="77" t="s">
        <v>29</v>
      </c>
      <c r="D262" s="77">
        <v>148.7</v>
      </c>
      <c r="E262" s="77">
        <f t="shared" si="25"/>
        <v>167.1</v>
      </c>
      <c r="F262" s="77">
        <v>148.8</v>
      </c>
      <c r="G262" s="77">
        <v>155.6</v>
      </c>
      <c r="H262" s="77">
        <v>135.1</v>
      </c>
      <c r="I262" s="77">
        <v>149.9</v>
      </c>
      <c r="J262" s="77">
        <v>168.6</v>
      </c>
      <c r="K262" s="77">
        <v>150.4</v>
      </c>
      <c r="L262" s="77">
        <v>120.3</v>
      </c>
      <c r="M262" s="77">
        <v>157.1</v>
      </c>
      <c r="N262" s="77">
        <v>136.8</v>
      </c>
      <c r="O262" s="77">
        <f t="shared" ref="O262:U262" si="30">ROUND(AVERAGE(O259:O261),1)</f>
        <v>159.5</v>
      </c>
      <c r="P262" s="77">
        <v>151.4</v>
      </c>
      <c r="Q262" s="68">
        <f t="shared" si="20"/>
        <v>1949.3</v>
      </c>
      <c r="R262" s="77">
        <f t="shared" si="30"/>
        <v>171.7</v>
      </c>
      <c r="S262" s="77">
        <f t="shared" si="30"/>
        <v>150.6</v>
      </c>
      <c r="T262" s="77">
        <f t="shared" si="30"/>
        <v>140.6</v>
      </c>
      <c r="U262" s="77">
        <f t="shared" si="30"/>
        <v>149.1</v>
      </c>
      <c r="V262" s="69">
        <f t="shared" si="21"/>
        <v>440.3</v>
      </c>
      <c r="W262" s="77">
        <v>155.6</v>
      </c>
      <c r="X262" s="77">
        <f>ROUND(AVERAGE(X259:X261),1)</f>
        <v>145.7</v>
      </c>
      <c r="Y262" s="77">
        <v>144.1</v>
      </c>
      <c r="Z262" s="3">
        <f t="shared" si="22"/>
        <v>445.4</v>
      </c>
      <c r="AA262" s="77">
        <f>ROUND(AVERAGE(AA259:AA261),1)</f>
        <v>129.4</v>
      </c>
      <c r="AB262" s="77">
        <f>ROUND(AVERAGE(AB259:AB261),1)</f>
        <v>145.2</v>
      </c>
      <c r="AC262" s="77">
        <v>150.7</v>
      </c>
      <c r="AD262" s="68">
        <f t="shared" si="23"/>
        <v>295.9</v>
      </c>
      <c r="AE262" s="77">
        <f t="shared" ref="AE262:AH262" si="31">ROUND(AVERAGE(AE259:AE261),1)</f>
        <v>155.9</v>
      </c>
      <c r="AF262" s="77">
        <f t="shared" si="31"/>
        <v>143.3</v>
      </c>
      <c r="AG262" s="77">
        <f t="shared" si="31"/>
        <v>143.2</v>
      </c>
      <c r="AH262" s="77">
        <f t="shared" si="31"/>
        <v>148.5</v>
      </c>
      <c r="AI262" s="3">
        <f t="shared" si="24"/>
        <v>4022.9</v>
      </c>
    </row>
    <row r="263" spans="1:35">
      <c r="A263" s="3" t="s">
        <v>14</v>
      </c>
      <c r="B263" s="3">
        <v>2020</v>
      </c>
      <c r="C263" s="3" t="s">
        <v>30</v>
      </c>
      <c r="D263" s="3">
        <v>148.2</v>
      </c>
      <c r="E263" s="3">
        <v>190.3</v>
      </c>
      <c r="F263" s="3">
        <v>149.4</v>
      </c>
      <c r="G263" s="3">
        <v>153.3</v>
      </c>
      <c r="H263" s="3">
        <v>138.2</v>
      </c>
      <c r="I263" s="3">
        <v>143.2</v>
      </c>
      <c r="J263" s="3">
        <v>148.9</v>
      </c>
      <c r="K263" s="3">
        <v>150.3</v>
      </c>
      <c r="L263" s="3">
        <v>113.2</v>
      </c>
      <c r="M263" s="3">
        <v>159.8</v>
      </c>
      <c r="N263" s="3">
        <v>142.1</v>
      </c>
      <c r="O263" s="3">
        <v>161.8</v>
      </c>
      <c r="P263" s="3">
        <v>152.3</v>
      </c>
      <c r="Q263" s="68">
        <f t="shared" si="20"/>
        <v>1951</v>
      </c>
      <c r="R263" s="3">
        <v>182.4</v>
      </c>
      <c r="S263" s="3">
        <v>154.7</v>
      </c>
      <c r="T263" s="3">
        <v>150</v>
      </c>
      <c r="U263" s="3">
        <v>154.1</v>
      </c>
      <c r="V263" s="69">
        <f t="shared" si="21"/>
        <v>458.8</v>
      </c>
      <c r="W263" s="75">
        <v>154.7</v>
      </c>
      <c r="X263" s="3">
        <v>151.7</v>
      </c>
      <c r="Y263" s="3">
        <v>144.9</v>
      </c>
      <c r="Z263" s="3">
        <f t="shared" si="22"/>
        <v>451.3</v>
      </c>
      <c r="AA263" s="3">
        <v>141.4</v>
      </c>
      <c r="AB263" s="3">
        <v>151.2</v>
      </c>
      <c r="AC263" s="3">
        <v>158.2</v>
      </c>
      <c r="AD263" s="68">
        <f t="shared" si="23"/>
        <v>309.4</v>
      </c>
      <c r="AE263" s="3">
        <v>161.8</v>
      </c>
      <c r="AF263" s="3">
        <v>153.2</v>
      </c>
      <c r="AG263" s="3">
        <v>151.7</v>
      </c>
      <c r="AH263" s="3">
        <v>152.7</v>
      </c>
      <c r="AI263" s="3">
        <f t="shared" si="24"/>
        <v>4113.7</v>
      </c>
    </row>
    <row r="264" spans="1:35">
      <c r="A264" s="3" t="s">
        <v>16</v>
      </c>
      <c r="B264" s="3">
        <v>2020</v>
      </c>
      <c r="C264" s="3" t="s">
        <v>30</v>
      </c>
      <c r="D264" s="3">
        <v>152.7</v>
      </c>
      <c r="E264" s="3">
        <v>197</v>
      </c>
      <c r="F264" s="3">
        <v>154.6</v>
      </c>
      <c r="G264" s="3">
        <v>153.4</v>
      </c>
      <c r="H264" s="3">
        <v>132.9</v>
      </c>
      <c r="I264" s="3">
        <v>151.8</v>
      </c>
      <c r="J264" s="3">
        <v>171.2</v>
      </c>
      <c r="K264" s="3">
        <v>152</v>
      </c>
      <c r="L264" s="3">
        <v>116.3</v>
      </c>
      <c r="M264" s="3">
        <v>158.8</v>
      </c>
      <c r="N264" s="3">
        <v>135.6</v>
      </c>
      <c r="O264" s="3">
        <v>161.7</v>
      </c>
      <c r="P264" s="3">
        <v>157</v>
      </c>
      <c r="Q264" s="68">
        <f t="shared" si="20"/>
        <v>1995</v>
      </c>
      <c r="R264" s="3">
        <v>186.7</v>
      </c>
      <c r="S264" s="3">
        <v>149.1</v>
      </c>
      <c r="T264" s="3">
        <v>136.6</v>
      </c>
      <c r="U264" s="3">
        <v>147.2</v>
      </c>
      <c r="V264" s="69">
        <f t="shared" si="21"/>
        <v>432.9</v>
      </c>
      <c r="W264" s="3">
        <v>154.7</v>
      </c>
      <c r="X264" s="3">
        <v>140.4</v>
      </c>
      <c r="Y264" s="3">
        <v>137.1</v>
      </c>
      <c r="Z264" s="3">
        <f t="shared" si="22"/>
        <v>432.2</v>
      </c>
      <c r="AA264" s="3">
        <v>129.3</v>
      </c>
      <c r="AB264" s="3">
        <v>152.2</v>
      </c>
      <c r="AC264" s="3">
        <v>148.1</v>
      </c>
      <c r="AD264" s="68">
        <f t="shared" si="23"/>
        <v>300.3</v>
      </c>
      <c r="AE264" s="3">
        <v>152.5</v>
      </c>
      <c r="AF264" s="3">
        <v>144.5</v>
      </c>
      <c r="AG264" s="3">
        <v>142</v>
      </c>
      <c r="AH264" s="3">
        <v>150.8</v>
      </c>
      <c r="AI264" s="3">
        <f t="shared" si="24"/>
        <v>4066.2</v>
      </c>
    </row>
    <row r="265" spans="1:35">
      <c r="A265" s="3" t="s">
        <v>17</v>
      </c>
      <c r="B265" s="3">
        <v>2020</v>
      </c>
      <c r="C265" s="3" t="s">
        <v>30</v>
      </c>
      <c r="D265" s="3">
        <v>149.6</v>
      </c>
      <c r="E265" s="3">
        <v>192.7</v>
      </c>
      <c r="F265" s="3">
        <v>151.4</v>
      </c>
      <c r="G265" s="3">
        <v>153.3</v>
      </c>
      <c r="H265" s="3">
        <v>136.3</v>
      </c>
      <c r="I265" s="3">
        <v>147.2</v>
      </c>
      <c r="J265" s="3">
        <v>156.5</v>
      </c>
      <c r="K265" s="3">
        <v>150.9</v>
      </c>
      <c r="L265" s="3">
        <v>114.2</v>
      </c>
      <c r="M265" s="3">
        <v>159.5</v>
      </c>
      <c r="N265" s="3">
        <v>139.4</v>
      </c>
      <c r="O265" s="3">
        <v>161.8</v>
      </c>
      <c r="P265" s="3">
        <v>154</v>
      </c>
      <c r="Q265" s="68">
        <f t="shared" si="20"/>
        <v>1966.8</v>
      </c>
      <c r="R265" s="3">
        <v>183.5</v>
      </c>
      <c r="S265" s="3">
        <v>152.5</v>
      </c>
      <c r="T265" s="3">
        <v>144.4</v>
      </c>
      <c r="U265" s="3">
        <v>151.4</v>
      </c>
      <c r="V265" s="69">
        <f t="shared" si="21"/>
        <v>448.3</v>
      </c>
      <c r="W265" s="3">
        <v>154.7</v>
      </c>
      <c r="X265" s="3">
        <v>146.4</v>
      </c>
      <c r="Y265" s="3">
        <v>141.9</v>
      </c>
      <c r="Z265" s="3">
        <f t="shared" si="22"/>
        <v>443</v>
      </c>
      <c r="AA265" s="3">
        <v>135</v>
      </c>
      <c r="AB265" s="3">
        <v>151.6</v>
      </c>
      <c r="AC265" s="3">
        <v>154.4</v>
      </c>
      <c r="AD265" s="68">
        <f t="shared" si="23"/>
        <v>306</v>
      </c>
      <c r="AE265" s="3">
        <v>156.4</v>
      </c>
      <c r="AF265" s="3">
        <v>148.3</v>
      </c>
      <c r="AG265" s="3">
        <v>147</v>
      </c>
      <c r="AH265" s="3">
        <v>151.8</v>
      </c>
      <c r="AI265" s="3">
        <f t="shared" si="24"/>
        <v>4086.1</v>
      </c>
    </row>
    <row r="266" spans="1:35">
      <c r="A266" s="3" t="s">
        <v>14</v>
      </c>
      <c r="B266" s="3">
        <v>2020</v>
      </c>
      <c r="C266" s="3" t="s">
        <v>31</v>
      </c>
      <c r="D266" s="3">
        <v>148.2</v>
      </c>
      <c r="E266" s="3">
        <v>190.3</v>
      </c>
      <c r="F266" s="3">
        <v>149.4</v>
      </c>
      <c r="G266" s="3">
        <v>153.3</v>
      </c>
      <c r="H266" s="3">
        <v>138.2</v>
      </c>
      <c r="I266" s="3">
        <v>143.2</v>
      </c>
      <c r="J266" s="3">
        <v>148.9</v>
      </c>
      <c r="K266" s="3">
        <v>150.3</v>
      </c>
      <c r="L266" s="3">
        <v>113.2</v>
      </c>
      <c r="M266" s="3">
        <v>159.8</v>
      </c>
      <c r="N266" s="3">
        <v>142.1</v>
      </c>
      <c r="O266" s="3">
        <v>161.8</v>
      </c>
      <c r="P266" s="3">
        <v>152.3</v>
      </c>
      <c r="Q266" s="68">
        <f t="shared" si="20"/>
        <v>1951</v>
      </c>
      <c r="R266" s="3">
        <v>182.4</v>
      </c>
      <c r="S266" s="3">
        <v>154.7</v>
      </c>
      <c r="T266" s="3">
        <v>150</v>
      </c>
      <c r="U266" s="3">
        <v>154.1</v>
      </c>
      <c r="V266" s="69">
        <f t="shared" si="21"/>
        <v>458.8</v>
      </c>
      <c r="W266" s="75">
        <v>154.7</v>
      </c>
      <c r="X266" s="3">
        <v>151.7</v>
      </c>
      <c r="Y266" s="3">
        <v>144.9</v>
      </c>
      <c r="Z266" s="3">
        <f t="shared" si="22"/>
        <v>451.3</v>
      </c>
      <c r="AA266" s="3">
        <v>141.4</v>
      </c>
      <c r="AB266" s="3">
        <v>151.2</v>
      </c>
      <c r="AC266" s="3">
        <v>158.2</v>
      </c>
      <c r="AD266" s="68">
        <f t="shared" si="23"/>
        <v>309.4</v>
      </c>
      <c r="AE266" s="3">
        <v>161.8</v>
      </c>
      <c r="AF266" s="3">
        <v>153.2</v>
      </c>
      <c r="AG266" s="3">
        <v>151.7</v>
      </c>
      <c r="AH266" s="3">
        <v>152.7</v>
      </c>
      <c r="AI266" s="3">
        <f t="shared" si="24"/>
        <v>4113.7</v>
      </c>
    </row>
    <row r="267" spans="1:35">
      <c r="A267" s="3" t="s">
        <v>16</v>
      </c>
      <c r="B267" s="3">
        <v>2020</v>
      </c>
      <c r="C267" s="3" t="s">
        <v>31</v>
      </c>
      <c r="D267" s="3">
        <v>152.7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</v>
      </c>
      <c r="J267" s="3">
        <v>171.2</v>
      </c>
      <c r="K267" s="3">
        <v>152</v>
      </c>
      <c r="L267" s="3">
        <v>116.3</v>
      </c>
      <c r="M267" s="3">
        <v>158.8</v>
      </c>
      <c r="N267" s="3">
        <v>135.6</v>
      </c>
      <c r="O267" s="3">
        <v>161.7</v>
      </c>
      <c r="P267" s="3">
        <v>157</v>
      </c>
      <c r="Q267" s="68">
        <f t="shared" si="20"/>
        <v>1995</v>
      </c>
      <c r="R267" s="3">
        <v>186.7</v>
      </c>
      <c r="S267" s="3">
        <v>149.1</v>
      </c>
      <c r="T267" s="3">
        <v>136.6</v>
      </c>
      <c r="U267" s="3">
        <v>147.2</v>
      </c>
      <c r="V267" s="69">
        <f t="shared" si="21"/>
        <v>432.9</v>
      </c>
      <c r="W267" s="3">
        <v>154.7</v>
      </c>
      <c r="X267" s="3">
        <v>140.4</v>
      </c>
      <c r="Y267" s="3">
        <v>137.1</v>
      </c>
      <c r="Z267" s="3">
        <f t="shared" si="22"/>
        <v>432.2</v>
      </c>
      <c r="AA267" s="3">
        <v>129.3</v>
      </c>
      <c r="AB267" s="3">
        <v>152.2</v>
      </c>
      <c r="AC267" s="3">
        <v>148.1</v>
      </c>
      <c r="AD267" s="68">
        <f t="shared" si="23"/>
        <v>300.3</v>
      </c>
      <c r="AE267" s="3">
        <v>152.5</v>
      </c>
      <c r="AF267" s="3">
        <v>144.5</v>
      </c>
      <c r="AG267" s="3">
        <v>142</v>
      </c>
      <c r="AH267" s="3">
        <v>150.8</v>
      </c>
      <c r="AI267" s="3">
        <f t="shared" si="24"/>
        <v>4066.2</v>
      </c>
    </row>
    <row r="268" spans="1:35">
      <c r="A268" s="3" t="s">
        <v>17</v>
      </c>
      <c r="B268" s="3">
        <v>2020</v>
      </c>
      <c r="C268" s="3" t="s">
        <v>31</v>
      </c>
      <c r="D268" s="3">
        <v>149.6</v>
      </c>
      <c r="E268" s="3">
        <v>192.7</v>
      </c>
      <c r="F268" s="3">
        <v>151.4</v>
      </c>
      <c r="G268" s="3">
        <v>153.3</v>
      </c>
      <c r="H268" s="3">
        <v>136.3</v>
      </c>
      <c r="I268" s="3">
        <v>147.2</v>
      </c>
      <c r="J268" s="3">
        <v>156.5</v>
      </c>
      <c r="K268" s="3">
        <v>150.9</v>
      </c>
      <c r="L268" s="3">
        <v>114.2</v>
      </c>
      <c r="M268" s="3">
        <v>159.5</v>
      </c>
      <c r="N268" s="3">
        <v>139.4</v>
      </c>
      <c r="O268" s="3">
        <v>161.8</v>
      </c>
      <c r="P268" s="3">
        <v>154</v>
      </c>
      <c r="Q268" s="68">
        <f t="shared" si="20"/>
        <v>1966.8</v>
      </c>
      <c r="R268" s="3">
        <v>183.5</v>
      </c>
      <c r="S268" s="3">
        <v>152.5</v>
      </c>
      <c r="T268" s="3">
        <v>144.4</v>
      </c>
      <c r="U268" s="3">
        <v>151.4</v>
      </c>
      <c r="V268" s="69">
        <f t="shared" si="21"/>
        <v>448.3</v>
      </c>
      <c r="W268" s="3">
        <v>154.7</v>
      </c>
      <c r="X268" s="3">
        <v>146.4</v>
      </c>
      <c r="Y268" s="3">
        <v>141.9</v>
      </c>
      <c r="Z268" s="3">
        <f t="shared" si="22"/>
        <v>443</v>
      </c>
      <c r="AA268" s="3">
        <v>135</v>
      </c>
      <c r="AB268" s="3">
        <v>151.6</v>
      </c>
      <c r="AC268" s="3">
        <v>154.4</v>
      </c>
      <c r="AD268" s="68">
        <f t="shared" si="23"/>
        <v>306</v>
      </c>
      <c r="AE268" s="3">
        <v>156.4</v>
      </c>
      <c r="AF268" s="3">
        <v>148.3</v>
      </c>
      <c r="AG268" s="3">
        <v>147</v>
      </c>
      <c r="AH268" s="3">
        <v>151.8</v>
      </c>
      <c r="AI268" s="3">
        <f t="shared" si="24"/>
        <v>4086.1</v>
      </c>
    </row>
    <row r="269" spans="1:35">
      <c r="A269" s="3" t="s">
        <v>14</v>
      </c>
      <c r="B269" s="3">
        <v>2020</v>
      </c>
      <c r="C269" s="3" t="s">
        <v>32</v>
      </c>
      <c r="D269" s="3">
        <v>147.6</v>
      </c>
      <c r="E269" s="3">
        <v>187.2</v>
      </c>
      <c r="F269" s="3">
        <v>148.4</v>
      </c>
      <c r="G269" s="3">
        <v>153.3</v>
      </c>
      <c r="H269" s="3">
        <v>139.8</v>
      </c>
      <c r="I269" s="3">
        <v>146.9</v>
      </c>
      <c r="J269" s="3">
        <v>171</v>
      </c>
      <c r="K269" s="3">
        <v>149.9</v>
      </c>
      <c r="L269" s="3">
        <v>114.2</v>
      </c>
      <c r="M269" s="3">
        <v>160</v>
      </c>
      <c r="N269" s="3">
        <v>143.5</v>
      </c>
      <c r="O269" s="3">
        <v>161.5</v>
      </c>
      <c r="P269" s="3">
        <v>155.3</v>
      </c>
      <c r="Q269" s="68">
        <f t="shared" si="20"/>
        <v>1978.6</v>
      </c>
      <c r="R269" s="3">
        <v>180.9</v>
      </c>
      <c r="S269" s="3">
        <v>155.1</v>
      </c>
      <c r="T269" s="3">
        <v>149.3</v>
      </c>
      <c r="U269" s="3">
        <v>154.3</v>
      </c>
      <c r="V269" s="69">
        <f t="shared" si="21"/>
        <v>458.7</v>
      </c>
      <c r="W269" s="75">
        <v>155.5</v>
      </c>
      <c r="X269" s="3">
        <v>151.9</v>
      </c>
      <c r="Y269" s="3">
        <v>145.8</v>
      </c>
      <c r="Z269" s="3">
        <f t="shared" si="22"/>
        <v>453.2</v>
      </c>
      <c r="AA269" s="3">
        <v>143.6</v>
      </c>
      <c r="AB269" s="3">
        <v>153.6</v>
      </c>
      <c r="AC269" s="3">
        <v>158.8</v>
      </c>
      <c r="AD269" s="68">
        <f t="shared" si="23"/>
        <v>312.4</v>
      </c>
      <c r="AE269" s="3">
        <v>162.7</v>
      </c>
      <c r="AF269" s="3">
        <v>152.2</v>
      </c>
      <c r="AG269" s="3">
        <v>153</v>
      </c>
      <c r="AH269" s="3">
        <v>154.7</v>
      </c>
      <c r="AI269" s="3">
        <f t="shared" si="24"/>
        <v>4150</v>
      </c>
    </row>
    <row r="270" spans="1:35">
      <c r="A270" s="3" t="s">
        <v>16</v>
      </c>
      <c r="B270" s="3">
        <v>2020</v>
      </c>
      <c r="C270" s="3" t="s">
        <v>32</v>
      </c>
      <c r="D270" s="3">
        <v>151.6</v>
      </c>
      <c r="E270" s="3">
        <v>197.8</v>
      </c>
      <c r="F270" s="3">
        <v>154.5</v>
      </c>
      <c r="G270" s="3">
        <v>153.4</v>
      </c>
      <c r="H270" s="3">
        <v>133.4</v>
      </c>
      <c r="I270" s="3">
        <v>154.5</v>
      </c>
      <c r="J270" s="3">
        <v>191.9</v>
      </c>
      <c r="K270" s="3">
        <v>151.3</v>
      </c>
      <c r="L270" s="3">
        <v>116.8</v>
      </c>
      <c r="M270" s="3">
        <v>160</v>
      </c>
      <c r="N270" s="3">
        <v>136.5</v>
      </c>
      <c r="O270" s="3">
        <v>163.3</v>
      </c>
      <c r="P270" s="3">
        <v>159.9</v>
      </c>
      <c r="Q270" s="68">
        <f t="shared" si="20"/>
        <v>2024.9</v>
      </c>
      <c r="R270" s="3">
        <v>187.2</v>
      </c>
      <c r="S270" s="3">
        <v>150</v>
      </c>
      <c r="T270" s="3">
        <v>135.2</v>
      </c>
      <c r="U270" s="3">
        <v>147.8</v>
      </c>
      <c r="V270" s="69">
        <f t="shared" si="21"/>
        <v>433</v>
      </c>
      <c r="W270" s="3">
        <v>155.5</v>
      </c>
      <c r="X270" s="3">
        <v>144.5</v>
      </c>
      <c r="Y270" s="3">
        <v>138.3</v>
      </c>
      <c r="Z270" s="3">
        <f t="shared" si="22"/>
        <v>438.3</v>
      </c>
      <c r="AA270" s="3">
        <v>133.9</v>
      </c>
      <c r="AB270" s="3">
        <v>155.2</v>
      </c>
      <c r="AC270" s="3">
        <v>148.7</v>
      </c>
      <c r="AD270" s="68">
        <f t="shared" si="23"/>
        <v>303.9</v>
      </c>
      <c r="AE270" s="3">
        <v>155.5</v>
      </c>
      <c r="AF270" s="3">
        <v>141.2</v>
      </c>
      <c r="AG270" s="3">
        <v>144.8</v>
      </c>
      <c r="AH270" s="3">
        <v>152.9</v>
      </c>
      <c r="AI270" s="3">
        <f t="shared" si="24"/>
        <v>4115.6</v>
      </c>
    </row>
    <row r="271" spans="1:35">
      <c r="A271" s="3" t="s">
        <v>17</v>
      </c>
      <c r="B271" s="3">
        <v>2020</v>
      </c>
      <c r="C271" s="3" t="s">
        <v>32</v>
      </c>
      <c r="D271" s="3">
        <v>148.9</v>
      </c>
      <c r="E271" s="3">
        <v>190.9</v>
      </c>
      <c r="F271" s="3">
        <v>150.8</v>
      </c>
      <c r="G271" s="3">
        <v>153.3</v>
      </c>
      <c r="H271" s="3">
        <v>137.4</v>
      </c>
      <c r="I271" s="3">
        <v>150.4</v>
      </c>
      <c r="J271" s="3">
        <v>178.1</v>
      </c>
      <c r="K271" s="3">
        <v>150.4</v>
      </c>
      <c r="L271" s="3">
        <v>115.1</v>
      </c>
      <c r="M271" s="3">
        <v>160</v>
      </c>
      <c r="N271" s="3">
        <v>140.6</v>
      </c>
      <c r="O271" s="3">
        <v>162.3</v>
      </c>
      <c r="P271" s="3">
        <v>157</v>
      </c>
      <c r="Q271" s="68">
        <f t="shared" si="20"/>
        <v>1995.2</v>
      </c>
      <c r="R271" s="3">
        <v>182.6</v>
      </c>
      <c r="S271" s="3">
        <v>153.1</v>
      </c>
      <c r="T271" s="3">
        <v>143.4</v>
      </c>
      <c r="U271" s="3">
        <v>151.7</v>
      </c>
      <c r="V271" s="69">
        <f t="shared" si="21"/>
        <v>448.2</v>
      </c>
      <c r="W271" s="3">
        <v>155.5</v>
      </c>
      <c r="X271" s="3">
        <v>148.4</v>
      </c>
      <c r="Y271" s="3">
        <v>143</v>
      </c>
      <c r="Z271" s="3">
        <f t="shared" si="22"/>
        <v>446.9</v>
      </c>
      <c r="AA271" s="3">
        <v>138.5</v>
      </c>
      <c r="AB271" s="3">
        <v>154.3</v>
      </c>
      <c r="AC271" s="3">
        <v>155</v>
      </c>
      <c r="AD271" s="68">
        <f t="shared" si="23"/>
        <v>309.3</v>
      </c>
      <c r="AE271" s="3">
        <v>158.5</v>
      </c>
      <c r="AF271" s="3">
        <v>146</v>
      </c>
      <c r="AG271" s="3">
        <v>149</v>
      </c>
      <c r="AH271" s="3">
        <v>153.9</v>
      </c>
      <c r="AI271" s="3">
        <f t="shared" si="24"/>
        <v>4128.1</v>
      </c>
    </row>
    <row r="272" spans="1:35">
      <c r="A272" s="3" t="s">
        <v>14</v>
      </c>
      <c r="B272" s="3">
        <v>2020</v>
      </c>
      <c r="C272" s="3" t="s">
        <v>33</v>
      </c>
      <c r="D272" s="3">
        <v>146.9</v>
      </c>
      <c r="E272" s="3">
        <v>183.9</v>
      </c>
      <c r="F272" s="3">
        <v>149.5</v>
      </c>
      <c r="G272" s="3">
        <v>153.4</v>
      </c>
      <c r="H272" s="3">
        <v>140.4</v>
      </c>
      <c r="I272" s="3">
        <v>147</v>
      </c>
      <c r="J272" s="3">
        <v>178.8</v>
      </c>
      <c r="K272" s="3">
        <v>149.3</v>
      </c>
      <c r="L272" s="3">
        <v>115.1</v>
      </c>
      <c r="M272" s="3">
        <v>160</v>
      </c>
      <c r="N272" s="3">
        <v>145.4</v>
      </c>
      <c r="O272" s="3">
        <v>161.6</v>
      </c>
      <c r="P272" s="3">
        <v>156.1</v>
      </c>
      <c r="Q272" s="68">
        <f t="shared" si="20"/>
        <v>1987.4</v>
      </c>
      <c r="R272" s="3">
        <v>182.9</v>
      </c>
      <c r="S272" s="3">
        <v>155.4</v>
      </c>
      <c r="T272" s="3">
        <v>149.9</v>
      </c>
      <c r="U272" s="3">
        <v>154.6</v>
      </c>
      <c r="V272" s="69">
        <f t="shared" si="21"/>
        <v>459.9</v>
      </c>
      <c r="W272" s="75">
        <v>156.3</v>
      </c>
      <c r="X272" s="3">
        <v>151.6</v>
      </c>
      <c r="Y272" s="3">
        <v>146.4</v>
      </c>
      <c r="Z272" s="3">
        <f t="shared" si="22"/>
        <v>454.3</v>
      </c>
      <c r="AA272" s="3">
        <v>144.6</v>
      </c>
      <c r="AB272" s="3">
        <v>157.4</v>
      </c>
      <c r="AC272" s="3">
        <v>159.1</v>
      </c>
      <c r="AD272" s="68">
        <f t="shared" si="23"/>
        <v>316.5</v>
      </c>
      <c r="AE272" s="3">
        <v>161.1</v>
      </c>
      <c r="AF272" s="3">
        <v>152.8</v>
      </c>
      <c r="AG272" s="3">
        <v>153.7</v>
      </c>
      <c r="AH272" s="3">
        <v>155.4</v>
      </c>
      <c r="AI272" s="3">
        <f t="shared" si="24"/>
        <v>4168.6</v>
      </c>
    </row>
    <row r="273" spans="1:35">
      <c r="A273" s="3" t="s">
        <v>16</v>
      </c>
      <c r="B273" s="3">
        <v>2020</v>
      </c>
      <c r="C273" s="3" t="s">
        <v>33</v>
      </c>
      <c r="D273" s="3">
        <v>151.5</v>
      </c>
      <c r="E273" s="3">
        <v>193.1</v>
      </c>
      <c r="F273" s="3">
        <v>157.3</v>
      </c>
      <c r="G273" s="3">
        <v>153.9</v>
      </c>
      <c r="H273" s="3">
        <v>134.4</v>
      </c>
      <c r="I273" s="3">
        <v>155.4</v>
      </c>
      <c r="J273" s="3">
        <v>202</v>
      </c>
      <c r="K273" s="3">
        <v>150.8</v>
      </c>
      <c r="L273" s="3">
        <v>118.9</v>
      </c>
      <c r="M273" s="3">
        <v>160.9</v>
      </c>
      <c r="N273" s="3">
        <v>137.7</v>
      </c>
      <c r="O273" s="3">
        <v>164.4</v>
      </c>
      <c r="P273" s="3">
        <v>161.3</v>
      </c>
      <c r="Q273" s="68">
        <f t="shared" si="20"/>
        <v>2041.6</v>
      </c>
      <c r="R273" s="3">
        <v>188.7</v>
      </c>
      <c r="S273" s="3">
        <v>150.2</v>
      </c>
      <c r="T273" s="3">
        <v>136.3</v>
      </c>
      <c r="U273" s="3">
        <v>148.1</v>
      </c>
      <c r="V273" s="69">
        <f t="shared" si="21"/>
        <v>434.6</v>
      </c>
      <c r="W273" s="3">
        <v>156.3</v>
      </c>
      <c r="X273" s="3">
        <v>145.4</v>
      </c>
      <c r="Y273" s="3">
        <v>137.2</v>
      </c>
      <c r="Z273" s="3">
        <f t="shared" si="22"/>
        <v>438.9</v>
      </c>
      <c r="AA273" s="3">
        <v>135.1</v>
      </c>
      <c r="AB273" s="3">
        <v>159.8</v>
      </c>
      <c r="AC273" s="3">
        <v>150</v>
      </c>
      <c r="AD273" s="68">
        <f t="shared" si="23"/>
        <v>309.8</v>
      </c>
      <c r="AE273" s="3">
        <v>154.9</v>
      </c>
      <c r="AF273" s="3">
        <v>141.8</v>
      </c>
      <c r="AG273" s="3">
        <v>146</v>
      </c>
      <c r="AH273" s="3">
        <v>154</v>
      </c>
      <c r="AI273" s="3">
        <f t="shared" si="24"/>
        <v>4145.4</v>
      </c>
    </row>
    <row r="274" spans="1:35">
      <c r="A274" s="3" t="s">
        <v>17</v>
      </c>
      <c r="B274" s="3">
        <v>2020</v>
      </c>
      <c r="C274" s="3" t="s">
        <v>33</v>
      </c>
      <c r="D274" s="3">
        <v>148.4</v>
      </c>
      <c r="E274" s="3">
        <v>187.1</v>
      </c>
      <c r="F274" s="3">
        <v>152.5</v>
      </c>
      <c r="G274" s="3">
        <v>153.6</v>
      </c>
      <c r="H274" s="3">
        <v>138.2</v>
      </c>
      <c r="I274" s="3">
        <v>150.9</v>
      </c>
      <c r="J274" s="3">
        <v>186.7</v>
      </c>
      <c r="K274" s="3">
        <v>149.8</v>
      </c>
      <c r="L274" s="3">
        <v>116.4</v>
      </c>
      <c r="M274" s="3">
        <v>160.3</v>
      </c>
      <c r="N274" s="3">
        <v>142.2</v>
      </c>
      <c r="O274" s="3">
        <v>162.9</v>
      </c>
      <c r="P274" s="3">
        <v>158</v>
      </c>
      <c r="Q274" s="68">
        <f t="shared" si="20"/>
        <v>2007</v>
      </c>
      <c r="R274" s="3">
        <v>184.4</v>
      </c>
      <c r="S274" s="3">
        <v>153.4</v>
      </c>
      <c r="T274" s="3">
        <v>144.3</v>
      </c>
      <c r="U274" s="3">
        <v>152</v>
      </c>
      <c r="V274" s="69">
        <f t="shared" si="21"/>
        <v>449.7</v>
      </c>
      <c r="W274" s="3">
        <v>156.3</v>
      </c>
      <c r="X274" s="3">
        <v>148.7</v>
      </c>
      <c r="Y274" s="3">
        <v>142.9</v>
      </c>
      <c r="Z274" s="3">
        <f t="shared" si="22"/>
        <v>447.9</v>
      </c>
      <c r="AA274" s="3">
        <v>139.6</v>
      </c>
      <c r="AB274" s="3">
        <v>158.4</v>
      </c>
      <c r="AC274" s="3">
        <v>155.6</v>
      </c>
      <c r="AD274" s="68">
        <f t="shared" si="23"/>
        <v>314</v>
      </c>
      <c r="AE274" s="3">
        <v>157.5</v>
      </c>
      <c r="AF274" s="3">
        <v>146.6</v>
      </c>
      <c r="AG274" s="3">
        <v>150</v>
      </c>
      <c r="AH274" s="3">
        <v>154.7</v>
      </c>
      <c r="AI274" s="3">
        <f t="shared" si="24"/>
        <v>4151.4</v>
      </c>
    </row>
    <row r="275" spans="1:35">
      <c r="A275" s="3" t="s">
        <v>14</v>
      </c>
      <c r="B275" s="3">
        <v>2020</v>
      </c>
      <c r="C275" s="3" t="s">
        <v>34</v>
      </c>
      <c r="D275" s="3">
        <v>146</v>
      </c>
      <c r="E275" s="3">
        <v>186.3</v>
      </c>
      <c r="F275" s="3">
        <v>159.2</v>
      </c>
      <c r="G275" s="3">
        <v>153.6</v>
      </c>
      <c r="H275" s="3">
        <v>142.6</v>
      </c>
      <c r="I275" s="3">
        <v>147.2</v>
      </c>
      <c r="J275" s="3">
        <v>200.6</v>
      </c>
      <c r="K275" s="3">
        <v>150.3</v>
      </c>
      <c r="L275" s="3">
        <v>115.3</v>
      </c>
      <c r="M275" s="3">
        <v>160.9</v>
      </c>
      <c r="N275" s="3">
        <v>147.4</v>
      </c>
      <c r="O275" s="3">
        <v>161.9</v>
      </c>
      <c r="P275" s="3">
        <v>159.6</v>
      </c>
      <c r="Q275" s="68">
        <f t="shared" si="20"/>
        <v>2030.9</v>
      </c>
      <c r="R275" s="3">
        <v>182.7</v>
      </c>
      <c r="S275" s="3">
        <v>155.7</v>
      </c>
      <c r="T275" s="3">
        <v>150.6</v>
      </c>
      <c r="U275" s="3">
        <v>155</v>
      </c>
      <c r="V275" s="69">
        <f t="shared" si="21"/>
        <v>461.3</v>
      </c>
      <c r="W275" s="75">
        <v>156.5</v>
      </c>
      <c r="X275" s="3">
        <v>152</v>
      </c>
      <c r="Y275" s="3">
        <v>146.8</v>
      </c>
      <c r="Z275" s="3">
        <f t="shared" si="22"/>
        <v>455.3</v>
      </c>
      <c r="AA275" s="3">
        <v>146.4</v>
      </c>
      <c r="AB275" s="3">
        <v>156.2</v>
      </c>
      <c r="AC275" s="3">
        <v>159.5</v>
      </c>
      <c r="AD275" s="68">
        <f t="shared" si="23"/>
        <v>315.7</v>
      </c>
      <c r="AE275" s="3">
        <v>162.5</v>
      </c>
      <c r="AF275" s="3">
        <v>152.4</v>
      </c>
      <c r="AG275" s="3">
        <v>154.3</v>
      </c>
      <c r="AH275" s="3">
        <v>157.5</v>
      </c>
      <c r="AI275" s="3">
        <f t="shared" si="24"/>
        <v>4219</v>
      </c>
    </row>
    <row r="276" spans="1:35">
      <c r="A276" s="3" t="s">
        <v>16</v>
      </c>
      <c r="B276" s="3">
        <v>2020</v>
      </c>
      <c r="C276" s="3" t="s">
        <v>34</v>
      </c>
      <c r="D276" s="3">
        <v>150.6</v>
      </c>
      <c r="E276" s="3">
        <v>193.7</v>
      </c>
      <c r="F276" s="3">
        <v>164.8</v>
      </c>
      <c r="G276" s="3">
        <v>153.7</v>
      </c>
      <c r="H276" s="3">
        <v>135.7</v>
      </c>
      <c r="I276" s="3">
        <v>155.7</v>
      </c>
      <c r="J276" s="3">
        <v>226</v>
      </c>
      <c r="K276" s="3">
        <v>152.2</v>
      </c>
      <c r="L276" s="3">
        <v>118.1</v>
      </c>
      <c r="M276" s="3">
        <v>161.3</v>
      </c>
      <c r="N276" s="3">
        <v>139.2</v>
      </c>
      <c r="O276" s="3">
        <v>164.8</v>
      </c>
      <c r="P276" s="3">
        <v>164.4</v>
      </c>
      <c r="Q276" s="68">
        <f t="shared" si="20"/>
        <v>2080.2</v>
      </c>
      <c r="R276" s="3">
        <v>188.7</v>
      </c>
      <c r="S276" s="3">
        <v>150.5</v>
      </c>
      <c r="T276" s="3">
        <v>136.1</v>
      </c>
      <c r="U276" s="3">
        <v>148.3</v>
      </c>
      <c r="V276" s="69">
        <f t="shared" si="21"/>
        <v>434.9</v>
      </c>
      <c r="W276" s="3">
        <v>156.5</v>
      </c>
      <c r="X276" s="3">
        <v>145.1</v>
      </c>
      <c r="Y276" s="3">
        <v>137.1</v>
      </c>
      <c r="Z276" s="3">
        <f t="shared" si="22"/>
        <v>438.7</v>
      </c>
      <c r="AA276" s="3">
        <v>135.4</v>
      </c>
      <c r="AB276" s="3">
        <v>158.1</v>
      </c>
      <c r="AC276" s="3">
        <v>151</v>
      </c>
      <c r="AD276" s="68">
        <f t="shared" si="23"/>
        <v>309.1</v>
      </c>
      <c r="AE276" s="3">
        <v>155.7</v>
      </c>
      <c r="AF276" s="3">
        <v>142</v>
      </c>
      <c r="AG276" s="3">
        <v>146.2</v>
      </c>
      <c r="AH276" s="3">
        <v>155.2</v>
      </c>
      <c r="AI276" s="3">
        <f t="shared" si="24"/>
        <v>4186.1</v>
      </c>
    </row>
    <row r="277" spans="1:35">
      <c r="A277" s="3" t="s">
        <v>17</v>
      </c>
      <c r="B277" s="3">
        <v>2020</v>
      </c>
      <c r="C277" s="3" t="s">
        <v>34</v>
      </c>
      <c r="D277" s="3">
        <v>147.5</v>
      </c>
      <c r="E277" s="3">
        <v>188.9</v>
      </c>
      <c r="F277" s="3">
        <v>161.4</v>
      </c>
      <c r="G277" s="3">
        <v>153.6</v>
      </c>
      <c r="H277" s="3">
        <v>140.1</v>
      </c>
      <c r="I277" s="3">
        <v>151.2</v>
      </c>
      <c r="J277" s="3">
        <v>209.2</v>
      </c>
      <c r="K277" s="3">
        <v>150.9</v>
      </c>
      <c r="L277" s="3">
        <v>116.2</v>
      </c>
      <c r="M277" s="3">
        <v>161</v>
      </c>
      <c r="N277" s="3">
        <v>144</v>
      </c>
      <c r="O277" s="3">
        <v>163.2</v>
      </c>
      <c r="P277" s="3">
        <v>161.4</v>
      </c>
      <c r="Q277" s="68">
        <f t="shared" si="20"/>
        <v>2048.6</v>
      </c>
      <c r="R277" s="3">
        <v>184.3</v>
      </c>
      <c r="S277" s="3">
        <v>153.7</v>
      </c>
      <c r="T277" s="3">
        <v>144.6</v>
      </c>
      <c r="U277" s="3">
        <v>152.3</v>
      </c>
      <c r="V277" s="69">
        <f t="shared" si="21"/>
        <v>450.6</v>
      </c>
      <c r="W277" s="3">
        <v>156.5</v>
      </c>
      <c r="X277" s="3">
        <v>148.7</v>
      </c>
      <c r="Y277" s="3">
        <v>143.1</v>
      </c>
      <c r="Z277" s="3">
        <f t="shared" si="22"/>
        <v>448.3</v>
      </c>
      <c r="AA277" s="3">
        <v>140.6</v>
      </c>
      <c r="AB277" s="3">
        <v>157</v>
      </c>
      <c r="AC277" s="3">
        <v>156.3</v>
      </c>
      <c r="AD277" s="68">
        <f t="shared" si="23"/>
        <v>313.3</v>
      </c>
      <c r="AE277" s="3">
        <v>158.5</v>
      </c>
      <c r="AF277" s="3">
        <v>146.5</v>
      </c>
      <c r="AG277" s="3">
        <v>150.4</v>
      </c>
      <c r="AH277" s="3">
        <v>156.4</v>
      </c>
      <c r="AI277" s="3">
        <f t="shared" si="24"/>
        <v>4197.5</v>
      </c>
    </row>
    <row r="278" spans="1:35">
      <c r="A278" s="3" t="s">
        <v>14</v>
      </c>
      <c r="B278" s="3">
        <v>2020</v>
      </c>
      <c r="C278" s="3" t="s">
        <v>36</v>
      </c>
      <c r="D278" s="3">
        <v>145.4</v>
      </c>
      <c r="E278" s="3">
        <v>188.6</v>
      </c>
      <c r="F278" s="3">
        <v>171.6</v>
      </c>
      <c r="G278" s="3">
        <v>153.8</v>
      </c>
      <c r="H278" s="3">
        <v>145.4</v>
      </c>
      <c r="I278" s="3">
        <v>146.5</v>
      </c>
      <c r="J278" s="3">
        <v>222.2</v>
      </c>
      <c r="K278" s="3">
        <v>155.9</v>
      </c>
      <c r="L278" s="3">
        <v>114.9</v>
      </c>
      <c r="M278" s="3">
        <v>162</v>
      </c>
      <c r="N278" s="3">
        <v>150</v>
      </c>
      <c r="O278" s="3">
        <v>162.7</v>
      </c>
      <c r="P278" s="3">
        <v>163.4</v>
      </c>
      <c r="Q278" s="68">
        <f t="shared" si="20"/>
        <v>2082.4</v>
      </c>
      <c r="R278" s="3">
        <v>183.4</v>
      </c>
      <c r="S278" s="3">
        <v>156.3</v>
      </c>
      <c r="T278" s="3">
        <v>151</v>
      </c>
      <c r="U278" s="3">
        <v>155.5</v>
      </c>
      <c r="V278" s="69">
        <f t="shared" si="21"/>
        <v>462.8</v>
      </c>
      <c r="W278" s="75">
        <v>158</v>
      </c>
      <c r="X278" s="3">
        <v>152.8</v>
      </c>
      <c r="Y278" s="3">
        <v>147.5</v>
      </c>
      <c r="Z278" s="3">
        <f t="shared" si="22"/>
        <v>458.3</v>
      </c>
      <c r="AA278" s="3">
        <v>146.1</v>
      </c>
      <c r="AB278" s="3">
        <v>156.2</v>
      </c>
      <c r="AC278" s="3">
        <v>160.4</v>
      </c>
      <c r="AD278" s="68">
        <f t="shared" si="23"/>
        <v>316.6</v>
      </c>
      <c r="AE278" s="3">
        <v>161.6</v>
      </c>
      <c r="AF278" s="3">
        <v>153.6</v>
      </c>
      <c r="AG278" s="3">
        <v>154.5</v>
      </c>
      <c r="AH278" s="3">
        <v>159.8</v>
      </c>
      <c r="AI278" s="3">
        <f t="shared" si="24"/>
        <v>4279.1</v>
      </c>
    </row>
    <row r="279" spans="1:35">
      <c r="A279" s="3" t="s">
        <v>16</v>
      </c>
      <c r="B279" s="3">
        <v>2020</v>
      </c>
      <c r="C279" s="3" t="s">
        <v>36</v>
      </c>
      <c r="D279" s="3">
        <v>149.7</v>
      </c>
      <c r="E279" s="3">
        <v>195.5</v>
      </c>
      <c r="F279" s="3">
        <v>176.9</v>
      </c>
      <c r="G279" s="3">
        <v>153.9</v>
      </c>
      <c r="H279" s="3">
        <v>138</v>
      </c>
      <c r="I279" s="3">
        <v>150.5</v>
      </c>
      <c r="J279" s="3">
        <v>245.3</v>
      </c>
      <c r="K279" s="3">
        <v>158.7</v>
      </c>
      <c r="L279" s="3">
        <v>117.2</v>
      </c>
      <c r="M279" s="3">
        <v>161.4</v>
      </c>
      <c r="N279" s="3">
        <v>141.5</v>
      </c>
      <c r="O279" s="3">
        <v>165.1</v>
      </c>
      <c r="P279" s="3">
        <v>167</v>
      </c>
      <c r="Q279" s="68">
        <f t="shared" si="20"/>
        <v>2120.7</v>
      </c>
      <c r="R279" s="3">
        <v>188.8</v>
      </c>
      <c r="S279" s="3">
        <v>151.1</v>
      </c>
      <c r="T279" s="3">
        <v>136.4</v>
      </c>
      <c r="U279" s="3">
        <v>148.8</v>
      </c>
      <c r="V279" s="69">
        <f t="shared" si="21"/>
        <v>436.3</v>
      </c>
      <c r="W279" s="3">
        <v>158</v>
      </c>
      <c r="X279" s="3">
        <v>145.1</v>
      </c>
      <c r="Y279" s="3">
        <v>137.3</v>
      </c>
      <c r="Z279" s="3">
        <f t="shared" si="22"/>
        <v>440.4</v>
      </c>
      <c r="AA279" s="3">
        <v>135.2</v>
      </c>
      <c r="AB279" s="3">
        <v>157.9</v>
      </c>
      <c r="AC279" s="3">
        <v>152</v>
      </c>
      <c r="AD279" s="68">
        <f t="shared" si="23"/>
        <v>309.9</v>
      </c>
      <c r="AE279" s="3">
        <v>156.4</v>
      </c>
      <c r="AF279" s="3">
        <v>144.4</v>
      </c>
      <c r="AG279" s="3">
        <v>146.6</v>
      </c>
      <c r="AH279" s="3">
        <v>156.7</v>
      </c>
      <c r="AI279" s="3">
        <f t="shared" si="24"/>
        <v>4235.4</v>
      </c>
    </row>
    <row r="280" spans="1:35">
      <c r="A280" s="3" t="s">
        <v>17</v>
      </c>
      <c r="B280" s="3">
        <v>2020</v>
      </c>
      <c r="C280" s="3" t="s">
        <v>36</v>
      </c>
      <c r="D280" s="3">
        <v>146.8</v>
      </c>
      <c r="E280" s="3">
        <v>191</v>
      </c>
      <c r="F280" s="3">
        <v>173.6</v>
      </c>
      <c r="G280" s="3">
        <v>153.8</v>
      </c>
      <c r="H280" s="3">
        <v>142.7</v>
      </c>
      <c r="I280" s="3">
        <v>148.4</v>
      </c>
      <c r="J280" s="3">
        <v>230</v>
      </c>
      <c r="K280" s="3">
        <v>156.8</v>
      </c>
      <c r="L280" s="3">
        <v>115.7</v>
      </c>
      <c r="M280" s="3">
        <v>161.8</v>
      </c>
      <c r="N280" s="3">
        <v>146.5</v>
      </c>
      <c r="O280" s="3">
        <v>163.8</v>
      </c>
      <c r="P280" s="3">
        <v>164.7</v>
      </c>
      <c r="Q280" s="68">
        <f t="shared" si="20"/>
        <v>2095.6</v>
      </c>
      <c r="R280" s="3">
        <v>184.8</v>
      </c>
      <c r="S280" s="3">
        <v>154.3</v>
      </c>
      <c r="T280" s="3">
        <v>144.9</v>
      </c>
      <c r="U280" s="3">
        <v>152.8</v>
      </c>
      <c r="V280" s="69">
        <f t="shared" si="21"/>
        <v>452</v>
      </c>
      <c r="W280" s="3">
        <v>158</v>
      </c>
      <c r="X280" s="3">
        <v>149.2</v>
      </c>
      <c r="Y280" s="3">
        <v>143.6</v>
      </c>
      <c r="Z280" s="3">
        <f t="shared" si="22"/>
        <v>450.8</v>
      </c>
      <c r="AA280" s="3">
        <v>140.4</v>
      </c>
      <c r="AB280" s="3">
        <v>156.9</v>
      </c>
      <c r="AC280" s="3">
        <v>157.2</v>
      </c>
      <c r="AD280" s="68">
        <f t="shared" si="23"/>
        <v>314.1</v>
      </c>
      <c r="AE280" s="3">
        <v>158.6</v>
      </c>
      <c r="AF280" s="3">
        <v>148.4</v>
      </c>
      <c r="AG280" s="3">
        <v>150.7</v>
      </c>
      <c r="AH280" s="3">
        <v>158.4</v>
      </c>
      <c r="AI280" s="3">
        <f t="shared" si="24"/>
        <v>4253.8</v>
      </c>
    </row>
    <row r="281" spans="1:35">
      <c r="A281" s="3" t="s">
        <v>14</v>
      </c>
      <c r="B281" s="3">
        <v>2020</v>
      </c>
      <c r="C281" s="3" t="s">
        <v>37</v>
      </c>
      <c r="D281" s="3">
        <v>144.6</v>
      </c>
      <c r="E281" s="3">
        <v>188.5</v>
      </c>
      <c r="F281" s="3">
        <v>173.4</v>
      </c>
      <c r="G281" s="3">
        <v>154</v>
      </c>
      <c r="H281" s="3">
        <v>150</v>
      </c>
      <c r="I281" s="3">
        <v>145.9</v>
      </c>
      <c r="J281" s="3">
        <v>225.2</v>
      </c>
      <c r="K281" s="3">
        <v>159.5</v>
      </c>
      <c r="L281" s="3">
        <v>114.4</v>
      </c>
      <c r="M281" s="3">
        <v>163.5</v>
      </c>
      <c r="N281" s="3">
        <v>153.4</v>
      </c>
      <c r="O281" s="3">
        <v>163.6</v>
      </c>
      <c r="P281" s="3">
        <v>164.5</v>
      </c>
      <c r="Q281" s="68">
        <f t="shared" si="20"/>
        <v>2100.5</v>
      </c>
      <c r="R281" s="3">
        <v>183.6</v>
      </c>
      <c r="S281" s="3">
        <v>157</v>
      </c>
      <c r="T281" s="3">
        <v>151.6</v>
      </c>
      <c r="U281" s="3">
        <v>156.3</v>
      </c>
      <c r="V281" s="69">
        <f t="shared" si="21"/>
        <v>464.9</v>
      </c>
      <c r="W281" s="75">
        <v>158.4</v>
      </c>
      <c r="X281" s="3">
        <v>153.4</v>
      </c>
      <c r="Y281" s="3">
        <v>148.7</v>
      </c>
      <c r="Z281" s="3">
        <f t="shared" si="22"/>
        <v>460.5</v>
      </c>
      <c r="AA281" s="3">
        <v>146.4</v>
      </c>
      <c r="AB281" s="3">
        <v>156.6</v>
      </c>
      <c r="AC281" s="3">
        <v>161.6</v>
      </c>
      <c r="AD281" s="68">
        <f t="shared" si="23"/>
        <v>318.2</v>
      </c>
      <c r="AE281" s="3">
        <v>162.9</v>
      </c>
      <c r="AF281" s="3">
        <v>153.9</v>
      </c>
      <c r="AG281" s="3">
        <v>155.2</v>
      </c>
      <c r="AH281" s="3">
        <v>160.7</v>
      </c>
      <c r="AI281" s="3">
        <f t="shared" si="24"/>
        <v>4306.8</v>
      </c>
    </row>
    <row r="282" spans="1:35">
      <c r="A282" s="3" t="s">
        <v>16</v>
      </c>
      <c r="B282" s="3">
        <v>2020</v>
      </c>
      <c r="C282" s="3" t="s">
        <v>37</v>
      </c>
      <c r="D282" s="3">
        <v>149</v>
      </c>
      <c r="E282" s="3">
        <v>195.7</v>
      </c>
      <c r="F282" s="3">
        <v>178.3</v>
      </c>
      <c r="G282" s="3">
        <v>154.2</v>
      </c>
      <c r="H282" s="3">
        <v>140.7</v>
      </c>
      <c r="I282" s="3">
        <v>149.7</v>
      </c>
      <c r="J282" s="3">
        <v>240.9</v>
      </c>
      <c r="K282" s="3">
        <v>161.5</v>
      </c>
      <c r="L282" s="3">
        <v>117.1</v>
      </c>
      <c r="M282" s="3">
        <v>161.9</v>
      </c>
      <c r="N282" s="3">
        <v>143.3</v>
      </c>
      <c r="O282" s="3">
        <v>166.1</v>
      </c>
      <c r="P282" s="3">
        <v>167</v>
      </c>
      <c r="Q282" s="68">
        <f t="shared" si="20"/>
        <v>2125.4</v>
      </c>
      <c r="R282" s="3">
        <v>190.2</v>
      </c>
      <c r="S282" s="3">
        <v>151.9</v>
      </c>
      <c r="T282" s="3">
        <v>136.7</v>
      </c>
      <c r="U282" s="3">
        <v>149.6</v>
      </c>
      <c r="V282" s="69">
        <f t="shared" si="21"/>
        <v>438.2</v>
      </c>
      <c r="W282" s="3">
        <v>158.4</v>
      </c>
      <c r="X282" s="3">
        <v>145.5</v>
      </c>
      <c r="Y282" s="3">
        <v>137.9</v>
      </c>
      <c r="Z282" s="3">
        <f t="shared" si="22"/>
        <v>441.8</v>
      </c>
      <c r="AA282" s="3">
        <v>135.5</v>
      </c>
      <c r="AB282" s="3">
        <v>157.9</v>
      </c>
      <c r="AC282" s="3">
        <v>152.9</v>
      </c>
      <c r="AD282" s="68">
        <f t="shared" si="23"/>
        <v>310.8</v>
      </c>
      <c r="AE282" s="3">
        <v>156.9</v>
      </c>
      <c r="AF282" s="3">
        <v>144.3</v>
      </c>
      <c r="AG282" s="3">
        <v>146.9</v>
      </c>
      <c r="AH282" s="3">
        <v>156.9</v>
      </c>
      <c r="AI282" s="3">
        <f t="shared" si="24"/>
        <v>4246.9</v>
      </c>
    </row>
    <row r="283" spans="1:35">
      <c r="A283" s="3" t="s">
        <v>17</v>
      </c>
      <c r="B283" s="3">
        <v>2020</v>
      </c>
      <c r="C283" s="3" t="s">
        <v>37</v>
      </c>
      <c r="D283" s="3">
        <v>146</v>
      </c>
      <c r="E283" s="3">
        <v>191</v>
      </c>
      <c r="F283" s="3">
        <v>175.3</v>
      </c>
      <c r="G283" s="3">
        <v>154.1</v>
      </c>
      <c r="H283" s="3">
        <v>146.6</v>
      </c>
      <c r="I283" s="3">
        <v>147.7</v>
      </c>
      <c r="J283" s="3">
        <v>230.5</v>
      </c>
      <c r="K283" s="3">
        <v>160.2</v>
      </c>
      <c r="L283" s="3">
        <v>115.3</v>
      </c>
      <c r="M283" s="3">
        <v>163</v>
      </c>
      <c r="N283" s="3">
        <v>149.2</v>
      </c>
      <c r="O283" s="3">
        <v>164.8</v>
      </c>
      <c r="P283" s="3">
        <v>165.4</v>
      </c>
      <c r="Q283" s="68">
        <f t="shared" si="20"/>
        <v>2109.1</v>
      </c>
      <c r="R283" s="3">
        <v>185.4</v>
      </c>
      <c r="S283" s="3">
        <v>155</v>
      </c>
      <c r="T283" s="3">
        <v>145.4</v>
      </c>
      <c r="U283" s="3">
        <v>153.6</v>
      </c>
      <c r="V283" s="69">
        <f t="shared" si="21"/>
        <v>454</v>
      </c>
      <c r="W283" s="3">
        <v>158.4</v>
      </c>
      <c r="X283" s="3">
        <v>149.7</v>
      </c>
      <c r="Y283" s="3">
        <v>144.6</v>
      </c>
      <c r="Z283" s="3">
        <f t="shared" si="22"/>
        <v>452.7</v>
      </c>
      <c r="AA283" s="3">
        <v>140.7</v>
      </c>
      <c r="AB283" s="3">
        <v>157.1</v>
      </c>
      <c r="AC283" s="3">
        <v>158.3</v>
      </c>
      <c r="AD283" s="68">
        <f t="shared" si="23"/>
        <v>315.4</v>
      </c>
      <c r="AE283" s="3">
        <v>159.4</v>
      </c>
      <c r="AF283" s="3">
        <v>148.5</v>
      </c>
      <c r="AG283" s="3">
        <v>151.2</v>
      </c>
      <c r="AH283" s="3">
        <v>158.9</v>
      </c>
      <c r="AI283" s="3">
        <f t="shared" si="24"/>
        <v>4275.3</v>
      </c>
    </row>
    <row r="284" spans="1:35">
      <c r="A284" s="3" t="s">
        <v>14</v>
      </c>
      <c r="B284" s="3">
        <v>2021</v>
      </c>
      <c r="C284" s="3" t="s">
        <v>19</v>
      </c>
      <c r="D284" s="3">
        <v>143.4</v>
      </c>
      <c r="E284" s="3">
        <v>187.5</v>
      </c>
      <c r="F284" s="3">
        <v>173.4</v>
      </c>
      <c r="G284" s="3">
        <v>154</v>
      </c>
      <c r="H284" s="3">
        <v>154.8</v>
      </c>
      <c r="I284" s="3">
        <v>147</v>
      </c>
      <c r="J284" s="3">
        <v>187.8</v>
      </c>
      <c r="K284" s="3">
        <v>159.5</v>
      </c>
      <c r="L284" s="3">
        <v>113.8</v>
      </c>
      <c r="M284" s="3">
        <v>164.5</v>
      </c>
      <c r="N284" s="3">
        <v>156.1</v>
      </c>
      <c r="O284" s="3">
        <v>164.3</v>
      </c>
      <c r="P284" s="3">
        <v>159.6</v>
      </c>
      <c r="Q284" s="68">
        <f t="shared" si="20"/>
        <v>2065.7</v>
      </c>
      <c r="R284" s="3">
        <v>184.6</v>
      </c>
      <c r="S284" s="3">
        <v>157.5</v>
      </c>
      <c r="T284" s="3">
        <v>152.4</v>
      </c>
      <c r="U284" s="3">
        <v>156.8</v>
      </c>
      <c r="V284" s="69">
        <f t="shared" si="21"/>
        <v>466.7</v>
      </c>
      <c r="W284" s="75">
        <v>157.7</v>
      </c>
      <c r="X284" s="3">
        <v>153.9</v>
      </c>
      <c r="Y284" s="3">
        <v>150.9</v>
      </c>
      <c r="Z284" s="3">
        <f t="shared" si="22"/>
        <v>462.5</v>
      </c>
      <c r="AA284" s="3">
        <v>147.5</v>
      </c>
      <c r="AB284" s="3">
        <v>156.2</v>
      </c>
      <c r="AC284" s="3">
        <v>162.5</v>
      </c>
      <c r="AD284" s="68">
        <f t="shared" si="23"/>
        <v>318.7</v>
      </c>
      <c r="AE284" s="3">
        <v>163.5</v>
      </c>
      <c r="AF284" s="3">
        <v>155.1</v>
      </c>
      <c r="AG284" s="3">
        <v>155.9</v>
      </c>
      <c r="AH284" s="3">
        <v>158.5</v>
      </c>
      <c r="AI284" s="3">
        <f t="shared" si="24"/>
        <v>4278.7</v>
      </c>
    </row>
    <row r="285" spans="1:35">
      <c r="A285" s="3" t="s">
        <v>16</v>
      </c>
      <c r="B285" s="3">
        <v>2021</v>
      </c>
      <c r="C285" s="3" t="s">
        <v>19</v>
      </c>
      <c r="D285" s="3">
        <v>148</v>
      </c>
      <c r="E285" s="3">
        <v>194.8</v>
      </c>
      <c r="F285" s="3">
        <v>178.4</v>
      </c>
      <c r="G285" s="3">
        <v>154.4</v>
      </c>
      <c r="H285" s="3">
        <v>144.1</v>
      </c>
      <c r="I285" s="3">
        <v>152.6</v>
      </c>
      <c r="J285" s="3">
        <v>206.8</v>
      </c>
      <c r="K285" s="3">
        <v>162.1</v>
      </c>
      <c r="L285" s="3">
        <v>116.3</v>
      </c>
      <c r="M285" s="3">
        <v>163</v>
      </c>
      <c r="N285" s="3">
        <v>145.9</v>
      </c>
      <c r="O285" s="3">
        <v>167.2</v>
      </c>
      <c r="P285" s="3">
        <v>163.4</v>
      </c>
      <c r="Q285" s="68">
        <f t="shared" si="20"/>
        <v>2097</v>
      </c>
      <c r="R285" s="3">
        <v>191.8</v>
      </c>
      <c r="S285" s="3">
        <v>152.5</v>
      </c>
      <c r="T285" s="3">
        <v>137.3</v>
      </c>
      <c r="U285" s="3">
        <v>150.2</v>
      </c>
      <c r="V285" s="69">
        <f t="shared" si="21"/>
        <v>440</v>
      </c>
      <c r="W285" s="3">
        <v>157.7</v>
      </c>
      <c r="X285" s="3">
        <v>145.7</v>
      </c>
      <c r="Y285" s="3">
        <v>142.9</v>
      </c>
      <c r="Z285" s="3">
        <f t="shared" si="22"/>
        <v>446.3</v>
      </c>
      <c r="AA285" s="3">
        <v>136.9</v>
      </c>
      <c r="AB285" s="3">
        <v>157.7</v>
      </c>
      <c r="AC285" s="3">
        <v>154.1</v>
      </c>
      <c r="AD285" s="68">
        <f t="shared" si="23"/>
        <v>311.8</v>
      </c>
      <c r="AE285" s="3">
        <v>156.1</v>
      </c>
      <c r="AF285" s="3">
        <v>145.4</v>
      </c>
      <c r="AG285" s="3">
        <v>147.6</v>
      </c>
      <c r="AH285" s="3">
        <v>156</v>
      </c>
      <c r="AI285" s="3">
        <f t="shared" si="24"/>
        <v>4228.9</v>
      </c>
    </row>
    <row r="286" spans="1:35">
      <c r="A286" s="3" t="s">
        <v>17</v>
      </c>
      <c r="B286" s="3">
        <v>2021</v>
      </c>
      <c r="C286" s="3" t="s">
        <v>19</v>
      </c>
      <c r="D286" s="3">
        <v>144.9</v>
      </c>
      <c r="E286" s="3">
        <v>190.1</v>
      </c>
      <c r="F286" s="3">
        <v>175.3</v>
      </c>
      <c r="G286" s="3">
        <v>154.1</v>
      </c>
      <c r="H286" s="3">
        <v>150.9</v>
      </c>
      <c r="I286" s="3">
        <v>149.6</v>
      </c>
      <c r="J286" s="3">
        <v>194.2</v>
      </c>
      <c r="K286" s="3">
        <v>160.4</v>
      </c>
      <c r="L286" s="3">
        <v>114.6</v>
      </c>
      <c r="M286" s="3">
        <v>164</v>
      </c>
      <c r="N286" s="3">
        <v>151.8</v>
      </c>
      <c r="O286" s="3">
        <v>165.6</v>
      </c>
      <c r="P286" s="3">
        <v>161</v>
      </c>
      <c r="Q286" s="68">
        <f t="shared" si="20"/>
        <v>2076.5</v>
      </c>
      <c r="R286" s="3">
        <v>186.5</v>
      </c>
      <c r="S286" s="3">
        <v>155.5</v>
      </c>
      <c r="T286" s="3">
        <v>146.1</v>
      </c>
      <c r="U286" s="3">
        <v>154.2</v>
      </c>
      <c r="V286" s="69">
        <f t="shared" si="21"/>
        <v>455.8</v>
      </c>
      <c r="W286" s="3">
        <v>157.7</v>
      </c>
      <c r="X286" s="3">
        <v>150</v>
      </c>
      <c r="Y286" s="3">
        <v>147.9</v>
      </c>
      <c r="Z286" s="3">
        <f t="shared" si="22"/>
        <v>455.6</v>
      </c>
      <c r="AA286" s="3">
        <v>141.9</v>
      </c>
      <c r="AB286" s="3">
        <v>156.8</v>
      </c>
      <c r="AC286" s="3">
        <v>159.3</v>
      </c>
      <c r="AD286" s="68">
        <f t="shared" si="23"/>
        <v>316.1</v>
      </c>
      <c r="AE286" s="3">
        <v>159.2</v>
      </c>
      <c r="AF286" s="3">
        <v>149.6</v>
      </c>
      <c r="AG286" s="3">
        <v>151.9</v>
      </c>
      <c r="AH286" s="3">
        <v>157.3</v>
      </c>
      <c r="AI286" s="3">
        <f t="shared" si="24"/>
        <v>4250.4</v>
      </c>
    </row>
    <row r="287" spans="1:35">
      <c r="A287" s="3" t="s">
        <v>14</v>
      </c>
      <c r="B287" s="3">
        <v>2021</v>
      </c>
      <c r="C287" s="3" t="s">
        <v>20</v>
      </c>
      <c r="D287" s="3">
        <v>142.8</v>
      </c>
      <c r="E287" s="3">
        <v>184</v>
      </c>
      <c r="F287" s="3">
        <v>168</v>
      </c>
      <c r="G287" s="3">
        <v>154.4</v>
      </c>
      <c r="H287" s="3">
        <v>163</v>
      </c>
      <c r="I287" s="3">
        <v>147.8</v>
      </c>
      <c r="J287" s="3">
        <v>149.7</v>
      </c>
      <c r="K287" s="3">
        <v>158.3</v>
      </c>
      <c r="L287" s="3">
        <v>111.8</v>
      </c>
      <c r="M287" s="3">
        <v>165</v>
      </c>
      <c r="N287" s="3">
        <v>160</v>
      </c>
      <c r="O287" s="3">
        <v>165.8</v>
      </c>
      <c r="P287" s="3">
        <v>154.7</v>
      </c>
      <c r="Q287" s="68">
        <f t="shared" si="20"/>
        <v>2025.3</v>
      </c>
      <c r="R287" s="3">
        <v>186.5</v>
      </c>
      <c r="S287" s="3">
        <v>159.1</v>
      </c>
      <c r="T287" s="3">
        <v>153.9</v>
      </c>
      <c r="U287" s="3">
        <v>158.4</v>
      </c>
      <c r="V287" s="69">
        <f t="shared" si="21"/>
        <v>471.4</v>
      </c>
      <c r="W287" s="75">
        <v>159.8</v>
      </c>
      <c r="X287" s="3">
        <v>154.8</v>
      </c>
      <c r="Y287" s="3">
        <v>154.4</v>
      </c>
      <c r="Z287" s="3">
        <f t="shared" si="22"/>
        <v>469</v>
      </c>
      <c r="AA287" s="3">
        <v>150.2</v>
      </c>
      <c r="AB287" s="3">
        <v>155.2</v>
      </c>
      <c r="AC287" s="3">
        <v>164.3</v>
      </c>
      <c r="AD287" s="68">
        <f t="shared" si="23"/>
        <v>319.5</v>
      </c>
      <c r="AE287" s="3">
        <v>163.6</v>
      </c>
      <c r="AF287" s="3">
        <v>157</v>
      </c>
      <c r="AG287" s="3">
        <v>157.2</v>
      </c>
      <c r="AH287" s="3">
        <v>156.7</v>
      </c>
      <c r="AI287" s="3">
        <f t="shared" si="24"/>
        <v>4256.4</v>
      </c>
    </row>
    <row r="288" spans="1:35">
      <c r="A288" s="3" t="s">
        <v>16</v>
      </c>
      <c r="B288" s="3">
        <v>2021</v>
      </c>
      <c r="C288" s="3" t="s">
        <v>20</v>
      </c>
      <c r="D288" s="3">
        <v>147.6</v>
      </c>
      <c r="E288" s="3">
        <v>191.2</v>
      </c>
      <c r="F288" s="3">
        <v>169.9</v>
      </c>
      <c r="G288" s="3">
        <v>155.1</v>
      </c>
      <c r="H288" s="3">
        <v>151.4</v>
      </c>
      <c r="I288" s="3">
        <v>154</v>
      </c>
      <c r="J288" s="3">
        <v>180.2</v>
      </c>
      <c r="K288" s="3">
        <v>159.8</v>
      </c>
      <c r="L288" s="3">
        <v>114.9</v>
      </c>
      <c r="M288" s="3">
        <v>162.5</v>
      </c>
      <c r="N288" s="3">
        <v>149.2</v>
      </c>
      <c r="O288" s="3">
        <v>169.4</v>
      </c>
      <c r="P288" s="3">
        <v>160.8</v>
      </c>
      <c r="Q288" s="68">
        <f t="shared" si="20"/>
        <v>2066</v>
      </c>
      <c r="R288" s="3">
        <v>193.3</v>
      </c>
      <c r="S288" s="3">
        <v>154.2</v>
      </c>
      <c r="T288" s="3">
        <v>138.2</v>
      </c>
      <c r="U288" s="3">
        <v>151.8</v>
      </c>
      <c r="V288" s="69">
        <f t="shared" si="21"/>
        <v>444.2</v>
      </c>
      <c r="W288" s="3">
        <v>159.8</v>
      </c>
      <c r="X288" s="3">
        <v>146.5</v>
      </c>
      <c r="Y288" s="3">
        <v>149.1</v>
      </c>
      <c r="Z288" s="3">
        <f t="shared" si="22"/>
        <v>455.4</v>
      </c>
      <c r="AA288" s="3">
        <v>140.5</v>
      </c>
      <c r="AB288" s="3">
        <v>156.7</v>
      </c>
      <c r="AC288" s="3">
        <v>156.3</v>
      </c>
      <c r="AD288" s="68">
        <f t="shared" si="23"/>
        <v>313</v>
      </c>
      <c r="AE288" s="3">
        <v>156.6</v>
      </c>
      <c r="AF288" s="3">
        <v>147.3</v>
      </c>
      <c r="AG288" s="3">
        <v>149.3</v>
      </c>
      <c r="AH288" s="3">
        <v>156.5</v>
      </c>
      <c r="AI288" s="3">
        <f t="shared" si="24"/>
        <v>4222.1</v>
      </c>
    </row>
    <row r="289" spans="1:35">
      <c r="A289" s="3" t="s">
        <v>17</v>
      </c>
      <c r="B289" s="3">
        <v>2021</v>
      </c>
      <c r="C289" s="3" t="s">
        <v>20</v>
      </c>
      <c r="D289" s="3">
        <v>144.3</v>
      </c>
      <c r="E289" s="3">
        <v>186.5</v>
      </c>
      <c r="F289" s="3">
        <v>168.7</v>
      </c>
      <c r="G289" s="3">
        <v>154.7</v>
      </c>
      <c r="H289" s="3">
        <v>158.7</v>
      </c>
      <c r="I289" s="3">
        <v>150.7</v>
      </c>
      <c r="J289" s="3">
        <v>160</v>
      </c>
      <c r="K289" s="3">
        <v>158.8</v>
      </c>
      <c r="L289" s="3">
        <v>112.8</v>
      </c>
      <c r="M289" s="3">
        <v>164.2</v>
      </c>
      <c r="N289" s="3">
        <v>155.5</v>
      </c>
      <c r="O289" s="3">
        <v>167.5</v>
      </c>
      <c r="P289" s="3">
        <v>156.9</v>
      </c>
      <c r="Q289" s="68">
        <f t="shared" si="20"/>
        <v>2039.3</v>
      </c>
      <c r="R289" s="3">
        <v>188.3</v>
      </c>
      <c r="S289" s="3">
        <v>157.2</v>
      </c>
      <c r="T289" s="3">
        <v>147.4</v>
      </c>
      <c r="U289" s="3">
        <v>155.8</v>
      </c>
      <c r="V289" s="69">
        <f t="shared" si="21"/>
        <v>460.4</v>
      </c>
      <c r="W289" s="3">
        <v>159.8</v>
      </c>
      <c r="X289" s="3">
        <v>150.9</v>
      </c>
      <c r="Y289" s="3">
        <v>152.4</v>
      </c>
      <c r="Z289" s="3">
        <f t="shared" si="22"/>
        <v>463.1</v>
      </c>
      <c r="AA289" s="3">
        <v>145.1</v>
      </c>
      <c r="AB289" s="3">
        <v>155.8</v>
      </c>
      <c r="AC289" s="3">
        <v>161.3</v>
      </c>
      <c r="AD289" s="68">
        <f t="shared" si="23"/>
        <v>317.1</v>
      </c>
      <c r="AE289" s="3">
        <v>159.5</v>
      </c>
      <c r="AF289" s="3">
        <v>151.5</v>
      </c>
      <c r="AG289" s="3">
        <v>153.4</v>
      </c>
      <c r="AH289" s="3">
        <v>156.6</v>
      </c>
      <c r="AI289" s="3">
        <f t="shared" si="24"/>
        <v>4234.3</v>
      </c>
    </row>
    <row r="290" spans="1:35">
      <c r="A290" s="3" t="s">
        <v>14</v>
      </c>
      <c r="B290" s="3">
        <v>2021</v>
      </c>
      <c r="C290" s="3" t="s">
        <v>26</v>
      </c>
      <c r="D290" s="3">
        <v>142.5</v>
      </c>
      <c r="E290" s="3">
        <v>189.4</v>
      </c>
      <c r="F290" s="3">
        <v>163.2</v>
      </c>
      <c r="G290" s="3">
        <v>154.5</v>
      </c>
      <c r="H290" s="3">
        <v>168.2</v>
      </c>
      <c r="I290" s="3">
        <v>150.5</v>
      </c>
      <c r="J290" s="3">
        <v>141</v>
      </c>
      <c r="K290" s="3">
        <v>159.2</v>
      </c>
      <c r="L290" s="3">
        <v>111.7</v>
      </c>
      <c r="M290" s="3">
        <v>164</v>
      </c>
      <c r="N290" s="3">
        <v>160.6</v>
      </c>
      <c r="O290" s="3">
        <v>166.4</v>
      </c>
      <c r="P290" s="3">
        <v>154.5</v>
      </c>
      <c r="Q290" s="68">
        <f t="shared" si="20"/>
        <v>2025.7</v>
      </c>
      <c r="R290" s="3">
        <v>186.1</v>
      </c>
      <c r="S290" s="3">
        <v>159.6</v>
      </c>
      <c r="T290" s="3">
        <v>154.4</v>
      </c>
      <c r="U290" s="3">
        <v>158.9</v>
      </c>
      <c r="V290" s="69">
        <f t="shared" si="21"/>
        <v>472.9</v>
      </c>
      <c r="W290" s="75">
        <v>159.9</v>
      </c>
      <c r="X290" s="3">
        <v>154.8</v>
      </c>
      <c r="Y290" s="3">
        <v>156</v>
      </c>
      <c r="Z290" s="3">
        <f t="shared" si="22"/>
        <v>470.7</v>
      </c>
      <c r="AA290" s="3">
        <v>151.3</v>
      </c>
      <c r="AB290" s="3">
        <v>153.1</v>
      </c>
      <c r="AC290" s="3">
        <v>164.6</v>
      </c>
      <c r="AD290" s="68">
        <f t="shared" si="23"/>
        <v>317.7</v>
      </c>
      <c r="AE290" s="3">
        <v>163.8</v>
      </c>
      <c r="AF290" s="3">
        <v>157.8</v>
      </c>
      <c r="AG290" s="3">
        <v>157.3</v>
      </c>
      <c r="AH290" s="3">
        <v>156.7</v>
      </c>
      <c r="AI290" s="3">
        <f t="shared" si="24"/>
        <v>4260</v>
      </c>
    </row>
    <row r="291" spans="1:35">
      <c r="A291" s="3" t="s">
        <v>16</v>
      </c>
      <c r="B291" s="3">
        <v>2021</v>
      </c>
      <c r="C291" s="3" t="s">
        <v>26</v>
      </c>
      <c r="D291" s="3">
        <v>147.5</v>
      </c>
      <c r="E291" s="3">
        <v>197.5</v>
      </c>
      <c r="F291" s="3">
        <v>164.7</v>
      </c>
      <c r="G291" s="3">
        <v>155.6</v>
      </c>
      <c r="H291" s="3">
        <v>156.4</v>
      </c>
      <c r="I291" s="3">
        <v>157.3</v>
      </c>
      <c r="J291" s="3">
        <v>166.1</v>
      </c>
      <c r="K291" s="3">
        <v>161.1</v>
      </c>
      <c r="L291" s="3">
        <v>114.3</v>
      </c>
      <c r="M291" s="3">
        <v>162.6</v>
      </c>
      <c r="N291" s="3">
        <v>150.7</v>
      </c>
      <c r="O291" s="3">
        <v>170.3</v>
      </c>
      <c r="P291" s="3">
        <v>160.4</v>
      </c>
      <c r="Q291" s="68">
        <f t="shared" si="20"/>
        <v>2064.5</v>
      </c>
      <c r="R291" s="3">
        <v>193.5</v>
      </c>
      <c r="S291" s="3">
        <v>155.1</v>
      </c>
      <c r="T291" s="3">
        <v>138.7</v>
      </c>
      <c r="U291" s="3">
        <v>152.6</v>
      </c>
      <c r="V291" s="69">
        <f t="shared" si="21"/>
        <v>446.4</v>
      </c>
      <c r="W291" s="3">
        <v>159.9</v>
      </c>
      <c r="X291" s="3">
        <v>147.2</v>
      </c>
      <c r="Y291" s="3">
        <v>154.8</v>
      </c>
      <c r="Z291" s="3">
        <f t="shared" si="22"/>
        <v>461.9</v>
      </c>
      <c r="AA291" s="3">
        <v>141.7</v>
      </c>
      <c r="AB291" s="3">
        <v>154.9</v>
      </c>
      <c r="AC291" s="3">
        <v>156.9</v>
      </c>
      <c r="AD291" s="68">
        <f t="shared" si="23"/>
        <v>311.8</v>
      </c>
      <c r="AE291" s="3">
        <v>157.6</v>
      </c>
      <c r="AF291" s="3">
        <v>148.6</v>
      </c>
      <c r="AG291" s="3">
        <v>150</v>
      </c>
      <c r="AH291" s="3">
        <v>156.9</v>
      </c>
      <c r="AI291" s="3">
        <f t="shared" si="24"/>
        <v>4232.9</v>
      </c>
    </row>
    <row r="292" spans="1:35">
      <c r="A292" s="3" t="s">
        <v>17</v>
      </c>
      <c r="B292" s="3">
        <v>2021</v>
      </c>
      <c r="C292" s="3" t="s">
        <v>26</v>
      </c>
      <c r="D292" s="3">
        <v>144.1</v>
      </c>
      <c r="E292" s="3">
        <v>192.2</v>
      </c>
      <c r="F292" s="3">
        <v>163.8</v>
      </c>
      <c r="G292" s="3">
        <v>154.9</v>
      </c>
      <c r="H292" s="3">
        <v>163.9</v>
      </c>
      <c r="I292" s="3">
        <v>153.7</v>
      </c>
      <c r="J292" s="3">
        <v>149.5</v>
      </c>
      <c r="K292" s="3">
        <v>159.8</v>
      </c>
      <c r="L292" s="3">
        <v>112.6</v>
      </c>
      <c r="M292" s="3">
        <v>163.5</v>
      </c>
      <c r="N292" s="3">
        <v>156.5</v>
      </c>
      <c r="O292" s="3">
        <v>168.2</v>
      </c>
      <c r="P292" s="3">
        <v>156.7</v>
      </c>
      <c r="Q292" s="68">
        <f t="shared" si="20"/>
        <v>2039.4</v>
      </c>
      <c r="R292" s="3">
        <v>188.1</v>
      </c>
      <c r="S292" s="3">
        <v>157.8</v>
      </c>
      <c r="T292" s="3">
        <v>147.9</v>
      </c>
      <c r="U292" s="3">
        <v>156.4</v>
      </c>
      <c r="V292" s="69">
        <f t="shared" si="21"/>
        <v>462.1</v>
      </c>
      <c r="W292" s="3">
        <v>159.9</v>
      </c>
      <c r="X292" s="3">
        <v>151.2</v>
      </c>
      <c r="Y292" s="3">
        <v>155.5</v>
      </c>
      <c r="Z292" s="3">
        <f t="shared" si="22"/>
        <v>466.6</v>
      </c>
      <c r="AA292" s="3">
        <v>146.2</v>
      </c>
      <c r="AB292" s="3">
        <v>153.8</v>
      </c>
      <c r="AC292" s="3">
        <v>161.7</v>
      </c>
      <c r="AD292" s="68">
        <f t="shared" si="23"/>
        <v>315.5</v>
      </c>
      <c r="AE292" s="3">
        <v>160.2</v>
      </c>
      <c r="AF292" s="3">
        <v>152.6</v>
      </c>
      <c r="AG292" s="3">
        <v>153.8</v>
      </c>
      <c r="AH292" s="3">
        <v>156.8</v>
      </c>
      <c r="AI292" s="3">
        <f t="shared" si="24"/>
        <v>4241.3</v>
      </c>
    </row>
    <row r="293" spans="1:35">
      <c r="A293" s="3" t="s">
        <v>14</v>
      </c>
      <c r="B293" s="3">
        <v>2021</v>
      </c>
      <c r="C293" s="3" t="s">
        <v>29</v>
      </c>
      <c r="D293" s="3">
        <v>142.7</v>
      </c>
      <c r="E293" s="3">
        <v>195.5</v>
      </c>
      <c r="F293" s="3">
        <v>163.4</v>
      </c>
      <c r="G293" s="3">
        <v>155</v>
      </c>
      <c r="H293" s="3">
        <v>175.2</v>
      </c>
      <c r="I293" s="3">
        <v>160.6</v>
      </c>
      <c r="J293" s="3">
        <v>135.1</v>
      </c>
      <c r="K293" s="3">
        <v>161.1</v>
      </c>
      <c r="L293" s="3">
        <v>112.2</v>
      </c>
      <c r="M293" s="3">
        <v>164.4</v>
      </c>
      <c r="N293" s="3">
        <v>161.9</v>
      </c>
      <c r="O293" s="3">
        <v>166.8</v>
      </c>
      <c r="P293" s="3">
        <v>155.6</v>
      </c>
      <c r="Q293" s="68">
        <f t="shared" si="20"/>
        <v>2049.5</v>
      </c>
      <c r="R293" s="3">
        <v>186.8</v>
      </c>
      <c r="S293" s="3">
        <v>160.7</v>
      </c>
      <c r="T293" s="3">
        <v>155.1</v>
      </c>
      <c r="U293" s="3">
        <v>159.9</v>
      </c>
      <c r="V293" s="69">
        <f t="shared" si="21"/>
        <v>475.7</v>
      </c>
      <c r="W293" s="75">
        <v>161.4</v>
      </c>
      <c r="X293" s="3">
        <v>155.5</v>
      </c>
      <c r="Y293" s="3">
        <v>156</v>
      </c>
      <c r="Z293" s="3">
        <f t="shared" si="22"/>
        <v>472.9</v>
      </c>
      <c r="AA293" s="3">
        <v>151.7</v>
      </c>
      <c r="AB293" s="3">
        <v>154.6</v>
      </c>
      <c r="AC293" s="3">
        <v>165.3</v>
      </c>
      <c r="AD293" s="68">
        <f t="shared" si="23"/>
        <v>319.9</v>
      </c>
      <c r="AE293" s="3">
        <v>164.1</v>
      </c>
      <c r="AF293" s="3">
        <v>158.6</v>
      </c>
      <c r="AG293" s="3">
        <v>158</v>
      </c>
      <c r="AH293" s="3">
        <v>157.6</v>
      </c>
      <c r="AI293" s="3">
        <f t="shared" si="24"/>
        <v>4294.8</v>
      </c>
    </row>
    <row r="294" spans="1:35">
      <c r="A294" s="3" t="s">
        <v>16</v>
      </c>
      <c r="B294" s="3">
        <v>2021</v>
      </c>
      <c r="C294" s="3" t="s">
        <v>29</v>
      </c>
      <c r="D294" s="3">
        <v>147.6</v>
      </c>
      <c r="E294" s="3">
        <v>202.5</v>
      </c>
      <c r="F294" s="3">
        <v>166.4</v>
      </c>
      <c r="G294" s="3">
        <v>156</v>
      </c>
      <c r="H294" s="3">
        <v>161.4</v>
      </c>
      <c r="I294" s="3">
        <v>168.8</v>
      </c>
      <c r="J294" s="3">
        <v>161.6</v>
      </c>
      <c r="K294" s="3">
        <v>162.8</v>
      </c>
      <c r="L294" s="3">
        <v>114.8</v>
      </c>
      <c r="M294" s="3">
        <v>162.8</v>
      </c>
      <c r="N294" s="3">
        <v>151.5</v>
      </c>
      <c r="O294" s="3">
        <v>171.4</v>
      </c>
      <c r="P294" s="3">
        <v>162</v>
      </c>
      <c r="Q294" s="68">
        <f t="shared" si="20"/>
        <v>2089.6</v>
      </c>
      <c r="R294" s="3">
        <v>194.4</v>
      </c>
      <c r="S294" s="3">
        <v>155.9</v>
      </c>
      <c r="T294" s="3">
        <v>139.3</v>
      </c>
      <c r="U294" s="3">
        <v>153.4</v>
      </c>
      <c r="V294" s="69">
        <f t="shared" si="21"/>
        <v>448.6</v>
      </c>
      <c r="W294" s="3">
        <v>161.4</v>
      </c>
      <c r="X294" s="3">
        <v>147.6</v>
      </c>
      <c r="Y294" s="3">
        <v>154.9</v>
      </c>
      <c r="Z294" s="3">
        <f t="shared" si="22"/>
        <v>463.9</v>
      </c>
      <c r="AA294" s="3">
        <v>142.1</v>
      </c>
      <c r="AB294" s="3">
        <v>156.6</v>
      </c>
      <c r="AC294" s="3">
        <v>157.5</v>
      </c>
      <c r="AD294" s="68">
        <f t="shared" si="23"/>
        <v>314.1</v>
      </c>
      <c r="AE294" s="3">
        <v>157.6</v>
      </c>
      <c r="AF294" s="3">
        <v>149.1</v>
      </c>
      <c r="AG294" s="3">
        <v>150.5</v>
      </c>
      <c r="AH294" s="3">
        <v>158</v>
      </c>
      <c r="AI294" s="3">
        <f t="shared" si="24"/>
        <v>4267.9</v>
      </c>
    </row>
    <row r="295" spans="1:35">
      <c r="A295" s="3" t="s">
        <v>17</v>
      </c>
      <c r="B295" s="3">
        <v>2021</v>
      </c>
      <c r="C295" s="3" t="s">
        <v>29</v>
      </c>
      <c r="D295" s="3">
        <v>144.3</v>
      </c>
      <c r="E295" s="3">
        <v>198</v>
      </c>
      <c r="F295" s="3">
        <v>164.6</v>
      </c>
      <c r="G295" s="3">
        <v>155.4</v>
      </c>
      <c r="H295" s="3">
        <v>170.1</v>
      </c>
      <c r="I295" s="3">
        <v>164.4</v>
      </c>
      <c r="J295" s="3">
        <v>144.1</v>
      </c>
      <c r="K295" s="3">
        <v>161.7</v>
      </c>
      <c r="L295" s="3">
        <v>113.1</v>
      </c>
      <c r="M295" s="3">
        <v>163.9</v>
      </c>
      <c r="N295" s="3">
        <v>157.6</v>
      </c>
      <c r="O295" s="3">
        <v>168.9</v>
      </c>
      <c r="P295" s="3">
        <v>158</v>
      </c>
      <c r="Q295" s="68">
        <f t="shared" si="20"/>
        <v>2064.1</v>
      </c>
      <c r="R295" s="3">
        <v>188.8</v>
      </c>
      <c r="S295" s="3">
        <v>158.8</v>
      </c>
      <c r="T295" s="3">
        <v>148.5</v>
      </c>
      <c r="U295" s="3">
        <v>157.3</v>
      </c>
      <c r="V295" s="69">
        <f t="shared" si="21"/>
        <v>464.6</v>
      </c>
      <c r="W295" s="3">
        <v>161.4</v>
      </c>
      <c r="X295" s="3">
        <v>151.8</v>
      </c>
      <c r="Y295" s="3">
        <v>155.6</v>
      </c>
      <c r="Z295" s="3">
        <f t="shared" si="22"/>
        <v>468.8</v>
      </c>
      <c r="AA295" s="3">
        <v>146.6</v>
      </c>
      <c r="AB295" s="3">
        <v>155.4</v>
      </c>
      <c r="AC295" s="3">
        <v>162.3</v>
      </c>
      <c r="AD295" s="68">
        <f t="shared" si="23"/>
        <v>317.7</v>
      </c>
      <c r="AE295" s="3">
        <v>160.3</v>
      </c>
      <c r="AF295" s="3">
        <v>153.2</v>
      </c>
      <c r="AG295" s="3">
        <v>154.4</v>
      </c>
      <c r="AH295" s="3">
        <v>157.8</v>
      </c>
      <c r="AI295" s="3">
        <f t="shared" si="24"/>
        <v>4276.3</v>
      </c>
    </row>
    <row r="296" spans="1:35">
      <c r="A296" s="3" t="s">
        <v>14</v>
      </c>
      <c r="B296" s="3">
        <v>2021</v>
      </c>
      <c r="C296" s="3" t="s">
        <v>15</v>
      </c>
      <c r="D296" s="3">
        <v>145.1</v>
      </c>
      <c r="E296" s="3">
        <v>198.5</v>
      </c>
      <c r="F296" s="3">
        <v>168.6</v>
      </c>
      <c r="G296" s="3">
        <v>155.8</v>
      </c>
      <c r="H296" s="3">
        <v>184.4</v>
      </c>
      <c r="I296" s="3">
        <v>162.3</v>
      </c>
      <c r="J296" s="3">
        <v>138.4</v>
      </c>
      <c r="K296" s="3">
        <v>165.1</v>
      </c>
      <c r="L296" s="3">
        <v>114.3</v>
      </c>
      <c r="M296" s="3">
        <v>169.7</v>
      </c>
      <c r="N296" s="3">
        <v>164.6</v>
      </c>
      <c r="O296" s="3">
        <v>169.8</v>
      </c>
      <c r="P296" s="3">
        <v>158.7</v>
      </c>
      <c r="Q296" s="68">
        <f t="shared" si="20"/>
        <v>2095.3</v>
      </c>
      <c r="R296" s="3">
        <v>189.6</v>
      </c>
      <c r="S296" s="3">
        <v>165.3</v>
      </c>
      <c r="T296" s="3">
        <v>160.6</v>
      </c>
      <c r="U296" s="3">
        <v>164.5</v>
      </c>
      <c r="V296" s="69">
        <f t="shared" si="21"/>
        <v>490.4</v>
      </c>
      <c r="W296" s="75">
        <v>161.6</v>
      </c>
      <c r="X296" s="3">
        <v>158.8</v>
      </c>
      <c r="Y296" s="3">
        <v>161.7</v>
      </c>
      <c r="Z296" s="3">
        <f t="shared" si="22"/>
        <v>482.1</v>
      </c>
      <c r="AA296" s="3">
        <v>153.2</v>
      </c>
      <c r="AB296" s="3">
        <v>159.3</v>
      </c>
      <c r="AC296" s="3">
        <v>169.1</v>
      </c>
      <c r="AD296" s="68">
        <f t="shared" si="23"/>
        <v>328.4</v>
      </c>
      <c r="AE296" s="3">
        <v>167.6</v>
      </c>
      <c r="AF296" s="3">
        <v>160</v>
      </c>
      <c r="AG296" s="3">
        <v>161.1</v>
      </c>
      <c r="AH296" s="3">
        <v>161.1</v>
      </c>
      <c r="AI296" s="3">
        <f t="shared" si="24"/>
        <v>4388.8</v>
      </c>
    </row>
    <row r="297" spans="1:35">
      <c r="A297" s="3" t="s">
        <v>16</v>
      </c>
      <c r="B297" s="3">
        <v>2021</v>
      </c>
      <c r="C297" s="3" t="s">
        <v>15</v>
      </c>
      <c r="D297" s="3">
        <v>148.8</v>
      </c>
      <c r="E297" s="3">
        <v>204.3</v>
      </c>
      <c r="F297" s="3">
        <v>173</v>
      </c>
      <c r="G297" s="3">
        <v>156.5</v>
      </c>
      <c r="H297" s="3">
        <v>168.8</v>
      </c>
      <c r="I297" s="3">
        <v>172.5</v>
      </c>
      <c r="J297" s="3">
        <v>166.5</v>
      </c>
      <c r="K297" s="3">
        <v>165.9</v>
      </c>
      <c r="L297" s="3">
        <v>115.9</v>
      </c>
      <c r="M297" s="3">
        <v>165.2</v>
      </c>
      <c r="N297" s="3">
        <v>152</v>
      </c>
      <c r="O297" s="3">
        <v>171.1</v>
      </c>
      <c r="P297" s="3">
        <v>164.2</v>
      </c>
      <c r="Q297" s="68">
        <f t="shared" si="20"/>
        <v>2124.7</v>
      </c>
      <c r="R297" s="3">
        <v>198.2</v>
      </c>
      <c r="S297" s="3">
        <v>156.5</v>
      </c>
      <c r="T297" s="3">
        <v>140.2</v>
      </c>
      <c r="U297" s="3">
        <v>154.1</v>
      </c>
      <c r="V297" s="69">
        <f t="shared" si="21"/>
        <v>450.8</v>
      </c>
      <c r="W297" s="3">
        <v>161.6</v>
      </c>
      <c r="X297" s="3">
        <v>150.1</v>
      </c>
      <c r="Y297" s="3">
        <v>155.5</v>
      </c>
      <c r="Z297" s="3">
        <f t="shared" si="22"/>
        <v>467.2</v>
      </c>
      <c r="AA297" s="3">
        <v>145</v>
      </c>
      <c r="AB297" s="3">
        <v>157.5</v>
      </c>
      <c r="AC297" s="3">
        <v>160.4</v>
      </c>
      <c r="AD297" s="68">
        <f t="shared" si="23"/>
        <v>317.9</v>
      </c>
      <c r="AE297" s="3">
        <v>156.6</v>
      </c>
      <c r="AF297" s="3">
        <v>152.6</v>
      </c>
      <c r="AG297" s="3">
        <v>152.3</v>
      </c>
      <c r="AH297" s="3">
        <v>159.5</v>
      </c>
      <c r="AI297" s="3">
        <f t="shared" si="24"/>
        <v>4324.8</v>
      </c>
    </row>
    <row r="298" spans="1:35">
      <c r="A298" s="3" t="s">
        <v>17</v>
      </c>
      <c r="B298" s="3">
        <v>2021</v>
      </c>
      <c r="C298" s="3" t="s">
        <v>15</v>
      </c>
      <c r="D298" s="3">
        <v>146.3</v>
      </c>
      <c r="E298" s="3">
        <v>200.5</v>
      </c>
      <c r="F298" s="3">
        <v>170.3</v>
      </c>
      <c r="G298" s="3">
        <v>156.1</v>
      </c>
      <c r="H298" s="3">
        <v>178.7</v>
      </c>
      <c r="I298" s="3">
        <v>167.1</v>
      </c>
      <c r="J298" s="3">
        <v>147.9</v>
      </c>
      <c r="K298" s="3">
        <v>165.4</v>
      </c>
      <c r="L298" s="3">
        <v>114.8</v>
      </c>
      <c r="M298" s="3">
        <v>168.2</v>
      </c>
      <c r="N298" s="3">
        <v>159.3</v>
      </c>
      <c r="O298" s="3">
        <v>170.4</v>
      </c>
      <c r="P298" s="3">
        <v>160.7</v>
      </c>
      <c r="Q298" s="68">
        <f t="shared" si="20"/>
        <v>2105.7</v>
      </c>
      <c r="R298" s="3">
        <v>191.9</v>
      </c>
      <c r="S298" s="3">
        <v>161.8</v>
      </c>
      <c r="T298" s="3">
        <v>152.1</v>
      </c>
      <c r="U298" s="3">
        <v>160.4</v>
      </c>
      <c r="V298" s="69">
        <f t="shared" si="21"/>
        <v>474.3</v>
      </c>
      <c r="W298" s="3">
        <v>161.6</v>
      </c>
      <c r="X298" s="3">
        <v>154.7</v>
      </c>
      <c r="Y298" s="3">
        <v>159.4</v>
      </c>
      <c r="Z298" s="3">
        <f t="shared" si="22"/>
        <v>475.7</v>
      </c>
      <c r="AA298" s="3">
        <v>148.9</v>
      </c>
      <c r="AB298" s="3">
        <v>158.6</v>
      </c>
      <c r="AC298" s="3">
        <v>165.8</v>
      </c>
      <c r="AD298" s="68">
        <f t="shared" si="23"/>
        <v>324.4</v>
      </c>
      <c r="AE298" s="3">
        <v>161.2</v>
      </c>
      <c r="AF298" s="3">
        <v>155.8</v>
      </c>
      <c r="AG298" s="3">
        <v>156.8</v>
      </c>
      <c r="AH298" s="3">
        <v>160.4</v>
      </c>
      <c r="AI298" s="3">
        <f t="shared" si="24"/>
        <v>4355.1</v>
      </c>
    </row>
    <row r="299" spans="1:35">
      <c r="A299" s="3" t="s">
        <v>14</v>
      </c>
      <c r="B299" s="3">
        <v>2021</v>
      </c>
      <c r="C299" s="3" t="s">
        <v>30</v>
      </c>
      <c r="D299" s="3">
        <v>145.6</v>
      </c>
      <c r="E299" s="3">
        <v>200.1</v>
      </c>
      <c r="F299" s="3">
        <v>179.3</v>
      </c>
      <c r="G299" s="3">
        <v>156.1</v>
      </c>
      <c r="H299" s="3">
        <v>190.4</v>
      </c>
      <c r="I299" s="3">
        <v>158.6</v>
      </c>
      <c r="J299" s="3">
        <v>144.7</v>
      </c>
      <c r="K299" s="3">
        <v>165.5</v>
      </c>
      <c r="L299" s="3">
        <v>114.6</v>
      </c>
      <c r="M299" s="3">
        <v>170</v>
      </c>
      <c r="N299" s="3">
        <v>165.5</v>
      </c>
      <c r="O299" s="3">
        <v>171.7</v>
      </c>
      <c r="P299" s="3">
        <v>160.5</v>
      </c>
      <c r="Q299" s="68">
        <f t="shared" si="20"/>
        <v>2122.6</v>
      </c>
      <c r="R299" s="3">
        <v>189.1</v>
      </c>
      <c r="S299" s="3">
        <v>165.3</v>
      </c>
      <c r="T299" s="3">
        <v>159.9</v>
      </c>
      <c r="U299" s="3">
        <v>164.6</v>
      </c>
      <c r="V299" s="69">
        <f t="shared" si="21"/>
        <v>489.8</v>
      </c>
      <c r="W299" s="75">
        <v>160.5</v>
      </c>
      <c r="X299" s="3">
        <v>159.2</v>
      </c>
      <c r="Y299" s="3">
        <v>162.1</v>
      </c>
      <c r="Z299" s="3">
        <f t="shared" si="22"/>
        <v>481.8</v>
      </c>
      <c r="AA299" s="3">
        <v>154.2</v>
      </c>
      <c r="AB299" s="3">
        <v>159.4</v>
      </c>
      <c r="AC299" s="3">
        <v>169.7</v>
      </c>
      <c r="AD299" s="68">
        <f t="shared" si="23"/>
        <v>329.1</v>
      </c>
      <c r="AE299" s="3">
        <v>166.8</v>
      </c>
      <c r="AF299" s="3">
        <v>160.4</v>
      </c>
      <c r="AG299" s="3">
        <v>161.5</v>
      </c>
      <c r="AH299" s="3">
        <v>162.1</v>
      </c>
      <c r="AI299" s="3">
        <f t="shared" si="24"/>
        <v>4417.4</v>
      </c>
    </row>
    <row r="300" spans="1:35">
      <c r="A300" s="3" t="s">
        <v>16</v>
      </c>
      <c r="B300" s="3">
        <v>2021</v>
      </c>
      <c r="C300" s="3" t="s">
        <v>30</v>
      </c>
      <c r="D300" s="3">
        <v>149.2</v>
      </c>
      <c r="E300" s="3">
        <v>205.5</v>
      </c>
      <c r="F300" s="3">
        <v>182.8</v>
      </c>
      <c r="G300" s="3">
        <v>156.5</v>
      </c>
      <c r="H300" s="3">
        <v>172.2</v>
      </c>
      <c r="I300" s="3">
        <v>171.5</v>
      </c>
      <c r="J300" s="3">
        <v>176.2</v>
      </c>
      <c r="K300" s="3">
        <v>166.9</v>
      </c>
      <c r="L300" s="3">
        <v>116.1</v>
      </c>
      <c r="M300" s="3">
        <v>165.5</v>
      </c>
      <c r="N300" s="3">
        <v>152.3</v>
      </c>
      <c r="O300" s="3">
        <v>173.3</v>
      </c>
      <c r="P300" s="3">
        <v>166.2</v>
      </c>
      <c r="Q300" s="68">
        <f t="shared" si="20"/>
        <v>2154.2</v>
      </c>
      <c r="R300" s="3">
        <v>195.6</v>
      </c>
      <c r="S300" s="3">
        <v>157.3</v>
      </c>
      <c r="T300" s="3">
        <v>140.5</v>
      </c>
      <c r="U300" s="3">
        <v>154.8</v>
      </c>
      <c r="V300" s="69">
        <f t="shared" si="21"/>
        <v>452.6</v>
      </c>
      <c r="W300" s="3">
        <v>160.5</v>
      </c>
      <c r="X300" s="3">
        <v>149.8</v>
      </c>
      <c r="Y300" s="3">
        <v>156.1</v>
      </c>
      <c r="Z300" s="3">
        <f t="shared" si="22"/>
        <v>466.4</v>
      </c>
      <c r="AA300" s="3">
        <v>147.5</v>
      </c>
      <c r="AB300" s="3">
        <v>158</v>
      </c>
      <c r="AC300" s="3">
        <v>160.8</v>
      </c>
      <c r="AD300" s="68">
        <f t="shared" si="23"/>
        <v>318.8</v>
      </c>
      <c r="AE300" s="3">
        <v>158.1</v>
      </c>
      <c r="AF300" s="3">
        <v>150.7</v>
      </c>
      <c r="AG300" s="3">
        <v>153.4</v>
      </c>
      <c r="AH300" s="3">
        <v>160.4</v>
      </c>
      <c r="AI300" s="3">
        <f t="shared" si="24"/>
        <v>4357.7</v>
      </c>
    </row>
    <row r="301" spans="1:35">
      <c r="A301" s="3" t="s">
        <v>17</v>
      </c>
      <c r="B301" s="3">
        <v>2021</v>
      </c>
      <c r="C301" s="3" t="s">
        <v>30</v>
      </c>
      <c r="D301" s="3">
        <v>146.7</v>
      </c>
      <c r="E301" s="3">
        <v>202</v>
      </c>
      <c r="F301" s="3">
        <v>180.7</v>
      </c>
      <c r="G301" s="3">
        <v>156.2</v>
      </c>
      <c r="H301" s="3">
        <v>183.7</v>
      </c>
      <c r="I301" s="3">
        <v>164.6</v>
      </c>
      <c r="J301" s="3">
        <v>155.4</v>
      </c>
      <c r="K301" s="3">
        <v>166</v>
      </c>
      <c r="L301" s="3">
        <v>115.1</v>
      </c>
      <c r="M301" s="3">
        <v>168.5</v>
      </c>
      <c r="N301" s="3">
        <v>160</v>
      </c>
      <c r="O301" s="3">
        <v>172.4</v>
      </c>
      <c r="P301" s="3">
        <v>162.6</v>
      </c>
      <c r="Q301" s="68">
        <f t="shared" si="20"/>
        <v>2133.9</v>
      </c>
      <c r="R301" s="3">
        <v>190.8</v>
      </c>
      <c r="S301" s="3">
        <v>162.2</v>
      </c>
      <c r="T301" s="3">
        <v>151.8</v>
      </c>
      <c r="U301" s="3">
        <v>160.7</v>
      </c>
      <c r="V301" s="69">
        <f t="shared" si="21"/>
        <v>474.7</v>
      </c>
      <c r="W301" s="3">
        <v>160.5</v>
      </c>
      <c r="X301" s="3">
        <v>154.8</v>
      </c>
      <c r="Y301" s="3">
        <v>159.8</v>
      </c>
      <c r="Z301" s="3">
        <f t="shared" si="22"/>
        <v>475.1</v>
      </c>
      <c r="AA301" s="3">
        <v>150.7</v>
      </c>
      <c r="AB301" s="3">
        <v>158.8</v>
      </c>
      <c r="AC301" s="3">
        <v>166.3</v>
      </c>
      <c r="AD301" s="68">
        <f t="shared" si="23"/>
        <v>325.1</v>
      </c>
      <c r="AE301" s="3">
        <v>161.7</v>
      </c>
      <c r="AF301" s="3">
        <v>154.9</v>
      </c>
      <c r="AG301" s="3">
        <v>157.6</v>
      </c>
      <c r="AH301" s="3">
        <v>161.3</v>
      </c>
      <c r="AI301" s="3">
        <f t="shared" si="24"/>
        <v>4385.8</v>
      </c>
    </row>
    <row r="302" spans="1:35">
      <c r="A302" s="3" t="s">
        <v>14</v>
      </c>
      <c r="B302" s="3">
        <v>2021</v>
      </c>
      <c r="C302" s="3" t="s">
        <v>31</v>
      </c>
      <c r="D302" s="3">
        <v>145.1</v>
      </c>
      <c r="E302" s="3">
        <v>204.5</v>
      </c>
      <c r="F302" s="3">
        <v>180.4</v>
      </c>
      <c r="G302" s="3">
        <v>157.1</v>
      </c>
      <c r="H302" s="3">
        <v>188.7</v>
      </c>
      <c r="I302" s="3">
        <v>157.7</v>
      </c>
      <c r="J302" s="3">
        <v>152.8</v>
      </c>
      <c r="K302" s="3">
        <v>163.6</v>
      </c>
      <c r="L302" s="3">
        <v>113.9</v>
      </c>
      <c r="M302" s="3">
        <v>169.7</v>
      </c>
      <c r="N302" s="3">
        <v>166.2</v>
      </c>
      <c r="O302" s="3">
        <v>171</v>
      </c>
      <c r="P302" s="3">
        <v>161.7</v>
      </c>
      <c r="Q302" s="68">
        <f t="shared" si="20"/>
        <v>2132.4</v>
      </c>
      <c r="R302" s="3">
        <v>189.7</v>
      </c>
      <c r="S302" s="3">
        <v>166</v>
      </c>
      <c r="T302" s="3">
        <v>161.1</v>
      </c>
      <c r="U302" s="3">
        <v>165.3</v>
      </c>
      <c r="V302" s="69">
        <f t="shared" si="21"/>
        <v>492.4</v>
      </c>
      <c r="W302" s="75">
        <v>161.5</v>
      </c>
      <c r="X302" s="3">
        <v>160.3</v>
      </c>
      <c r="Y302" s="3">
        <v>162.5</v>
      </c>
      <c r="Z302" s="3">
        <f t="shared" si="22"/>
        <v>484.3</v>
      </c>
      <c r="AA302" s="3">
        <v>157.1</v>
      </c>
      <c r="AB302" s="3">
        <v>160.4</v>
      </c>
      <c r="AC302" s="3">
        <v>170.4</v>
      </c>
      <c r="AD302" s="68">
        <f t="shared" si="23"/>
        <v>330.8</v>
      </c>
      <c r="AE302" s="3">
        <v>167.2</v>
      </c>
      <c r="AF302" s="3">
        <v>160.7</v>
      </c>
      <c r="AG302" s="3">
        <v>162.8</v>
      </c>
      <c r="AH302" s="3">
        <v>163.2</v>
      </c>
      <c r="AI302" s="3">
        <f t="shared" si="24"/>
        <v>4440.6</v>
      </c>
    </row>
    <row r="303" spans="1:35">
      <c r="A303" s="3" t="s">
        <v>16</v>
      </c>
      <c r="B303" s="3">
        <v>2021</v>
      </c>
      <c r="C303" s="3" t="s">
        <v>31</v>
      </c>
      <c r="D303" s="3">
        <v>149.1</v>
      </c>
      <c r="E303" s="3">
        <v>210.9</v>
      </c>
      <c r="F303" s="3">
        <v>185</v>
      </c>
      <c r="G303" s="3">
        <v>158.2</v>
      </c>
      <c r="H303" s="3">
        <v>170.6</v>
      </c>
      <c r="I303" s="3">
        <v>170.9</v>
      </c>
      <c r="J303" s="3">
        <v>186.4</v>
      </c>
      <c r="K303" s="3">
        <v>164.7</v>
      </c>
      <c r="L303" s="3">
        <v>115.7</v>
      </c>
      <c r="M303" s="3">
        <v>165.5</v>
      </c>
      <c r="N303" s="3">
        <v>153.4</v>
      </c>
      <c r="O303" s="3">
        <v>173.5</v>
      </c>
      <c r="P303" s="3">
        <v>167.9</v>
      </c>
      <c r="Q303" s="68">
        <f t="shared" si="20"/>
        <v>2171.8</v>
      </c>
      <c r="R303" s="3">
        <v>195.5</v>
      </c>
      <c r="S303" s="3">
        <v>157.9</v>
      </c>
      <c r="T303" s="3">
        <v>141.9</v>
      </c>
      <c r="U303" s="3">
        <v>155.5</v>
      </c>
      <c r="V303" s="69">
        <f t="shared" si="21"/>
        <v>455.3</v>
      </c>
      <c r="W303" s="3">
        <v>161.5</v>
      </c>
      <c r="X303" s="3">
        <v>150.7</v>
      </c>
      <c r="Y303" s="3">
        <v>157.7</v>
      </c>
      <c r="Z303" s="3">
        <f t="shared" si="22"/>
        <v>469.9</v>
      </c>
      <c r="AA303" s="3">
        <v>149.5</v>
      </c>
      <c r="AB303" s="3">
        <v>159.6</v>
      </c>
      <c r="AC303" s="3">
        <v>161.5</v>
      </c>
      <c r="AD303" s="68">
        <f t="shared" si="23"/>
        <v>321.1</v>
      </c>
      <c r="AE303" s="3">
        <v>160.3</v>
      </c>
      <c r="AF303" s="3">
        <v>151.2</v>
      </c>
      <c r="AG303" s="3">
        <v>155</v>
      </c>
      <c r="AH303" s="3">
        <v>161.8</v>
      </c>
      <c r="AI303" s="3">
        <f t="shared" si="24"/>
        <v>4391.4</v>
      </c>
    </row>
    <row r="304" spans="1:35">
      <c r="A304" s="3" t="s">
        <v>17</v>
      </c>
      <c r="B304" s="3">
        <v>2021</v>
      </c>
      <c r="C304" s="3" t="s">
        <v>31</v>
      </c>
      <c r="D304" s="3">
        <v>146.4</v>
      </c>
      <c r="E304" s="3">
        <v>206.8</v>
      </c>
      <c r="F304" s="3">
        <v>182.2</v>
      </c>
      <c r="G304" s="3">
        <v>157.5</v>
      </c>
      <c r="H304" s="3">
        <v>182.1</v>
      </c>
      <c r="I304" s="3">
        <v>163.9</v>
      </c>
      <c r="J304" s="3">
        <v>164.2</v>
      </c>
      <c r="K304" s="3">
        <v>164</v>
      </c>
      <c r="L304" s="3">
        <v>114.5</v>
      </c>
      <c r="M304" s="3">
        <v>168.3</v>
      </c>
      <c r="N304" s="3">
        <v>160.9</v>
      </c>
      <c r="O304" s="3">
        <v>172.2</v>
      </c>
      <c r="P304" s="3">
        <v>164</v>
      </c>
      <c r="Q304" s="68">
        <f t="shared" si="20"/>
        <v>2147</v>
      </c>
      <c r="R304" s="3">
        <v>191.2</v>
      </c>
      <c r="S304" s="3">
        <v>162.8</v>
      </c>
      <c r="T304" s="3">
        <v>153.1</v>
      </c>
      <c r="U304" s="3">
        <v>161.4</v>
      </c>
      <c r="V304" s="69">
        <f t="shared" si="21"/>
        <v>477.3</v>
      </c>
      <c r="W304" s="3">
        <v>161.5</v>
      </c>
      <c r="X304" s="3">
        <v>155.8</v>
      </c>
      <c r="Y304" s="3">
        <v>160.7</v>
      </c>
      <c r="Z304" s="3">
        <f t="shared" si="22"/>
        <v>478</v>
      </c>
      <c r="AA304" s="3">
        <v>153.1</v>
      </c>
      <c r="AB304" s="3">
        <v>160.1</v>
      </c>
      <c r="AC304" s="3">
        <v>167</v>
      </c>
      <c r="AD304" s="68">
        <f t="shared" si="23"/>
        <v>327.1</v>
      </c>
      <c r="AE304" s="3">
        <v>163.2</v>
      </c>
      <c r="AF304" s="3">
        <v>155.3</v>
      </c>
      <c r="AG304" s="3">
        <v>159</v>
      </c>
      <c r="AH304" s="3">
        <v>162.5</v>
      </c>
      <c r="AI304" s="3">
        <f t="shared" si="24"/>
        <v>4413.7</v>
      </c>
    </row>
    <row r="305" spans="1:35">
      <c r="A305" s="3" t="s">
        <v>14</v>
      </c>
      <c r="B305" s="3">
        <v>2021</v>
      </c>
      <c r="C305" s="3" t="s">
        <v>32</v>
      </c>
      <c r="D305" s="3">
        <v>144.9</v>
      </c>
      <c r="E305" s="3">
        <v>202.3</v>
      </c>
      <c r="F305" s="3">
        <v>176.5</v>
      </c>
      <c r="G305" s="3">
        <v>157.5</v>
      </c>
      <c r="H305" s="3">
        <v>190.9</v>
      </c>
      <c r="I305" s="3">
        <v>155.7</v>
      </c>
      <c r="J305" s="3">
        <v>153.9</v>
      </c>
      <c r="K305" s="3">
        <v>162.8</v>
      </c>
      <c r="L305" s="3">
        <v>115.2</v>
      </c>
      <c r="M305" s="3">
        <v>169.8</v>
      </c>
      <c r="N305" s="3">
        <v>167.6</v>
      </c>
      <c r="O305" s="3">
        <v>171.9</v>
      </c>
      <c r="P305" s="3">
        <v>161.8</v>
      </c>
      <c r="Q305" s="68">
        <f t="shared" si="20"/>
        <v>2130.8</v>
      </c>
      <c r="R305" s="3">
        <v>190.2</v>
      </c>
      <c r="S305" s="3">
        <v>167</v>
      </c>
      <c r="T305" s="3">
        <v>162.6</v>
      </c>
      <c r="U305" s="3">
        <v>166.3</v>
      </c>
      <c r="V305" s="69">
        <f t="shared" si="21"/>
        <v>495.9</v>
      </c>
      <c r="W305" s="75">
        <v>162.1</v>
      </c>
      <c r="X305" s="3">
        <v>160.9</v>
      </c>
      <c r="Y305" s="3">
        <v>163.1</v>
      </c>
      <c r="Z305" s="3">
        <f t="shared" si="22"/>
        <v>486.1</v>
      </c>
      <c r="AA305" s="3">
        <v>157.7</v>
      </c>
      <c r="AB305" s="3">
        <v>160.3</v>
      </c>
      <c r="AC305" s="3">
        <v>171.1</v>
      </c>
      <c r="AD305" s="68">
        <f t="shared" si="23"/>
        <v>331.4</v>
      </c>
      <c r="AE305" s="3">
        <v>167.5</v>
      </c>
      <c r="AF305" s="3">
        <v>161.1</v>
      </c>
      <c r="AG305" s="3">
        <v>163.3</v>
      </c>
      <c r="AH305" s="3">
        <v>163.6</v>
      </c>
      <c r="AI305" s="3">
        <f t="shared" si="24"/>
        <v>4447.6</v>
      </c>
    </row>
    <row r="306" spans="1:35">
      <c r="A306" s="3" t="s">
        <v>16</v>
      </c>
      <c r="B306" s="3">
        <v>2021</v>
      </c>
      <c r="C306" s="3" t="s">
        <v>32</v>
      </c>
      <c r="D306" s="3">
        <v>149.3</v>
      </c>
      <c r="E306" s="3">
        <v>207.4</v>
      </c>
      <c r="F306" s="3">
        <v>174.1</v>
      </c>
      <c r="G306" s="3">
        <v>159.2</v>
      </c>
      <c r="H306" s="3">
        <v>175</v>
      </c>
      <c r="I306" s="3">
        <v>161.3</v>
      </c>
      <c r="J306" s="3">
        <v>183.3</v>
      </c>
      <c r="K306" s="3">
        <v>164.5</v>
      </c>
      <c r="L306" s="3">
        <v>120.4</v>
      </c>
      <c r="M306" s="3">
        <v>166.2</v>
      </c>
      <c r="N306" s="3">
        <v>154.8</v>
      </c>
      <c r="O306" s="3">
        <v>175.1</v>
      </c>
      <c r="P306" s="3">
        <v>167.3</v>
      </c>
      <c r="Q306" s="68">
        <f t="shared" si="20"/>
        <v>2157.9</v>
      </c>
      <c r="R306" s="3">
        <v>196.5</v>
      </c>
      <c r="S306" s="3">
        <v>159.8</v>
      </c>
      <c r="T306" s="3">
        <v>143.6</v>
      </c>
      <c r="U306" s="3">
        <v>157.3</v>
      </c>
      <c r="V306" s="69">
        <f t="shared" si="21"/>
        <v>460.7</v>
      </c>
      <c r="W306" s="3">
        <v>162.1</v>
      </c>
      <c r="X306" s="3">
        <v>153.2</v>
      </c>
      <c r="Y306" s="3">
        <v>160.7</v>
      </c>
      <c r="Z306" s="3">
        <f t="shared" si="22"/>
        <v>476</v>
      </c>
      <c r="AA306" s="3">
        <v>150.4</v>
      </c>
      <c r="AB306" s="3">
        <v>159.6</v>
      </c>
      <c r="AC306" s="3">
        <v>162.8</v>
      </c>
      <c r="AD306" s="68">
        <f t="shared" si="23"/>
        <v>322.4</v>
      </c>
      <c r="AE306" s="3">
        <v>160.4</v>
      </c>
      <c r="AF306" s="3">
        <v>153.7</v>
      </c>
      <c r="AG306" s="3">
        <v>156</v>
      </c>
      <c r="AH306" s="3">
        <v>162.3</v>
      </c>
      <c r="AI306" s="3">
        <f t="shared" si="24"/>
        <v>4396.3</v>
      </c>
    </row>
    <row r="307" spans="1:35">
      <c r="A307" s="3" t="s">
        <v>17</v>
      </c>
      <c r="B307" s="3">
        <v>2021</v>
      </c>
      <c r="C307" s="3" t="s">
        <v>32</v>
      </c>
      <c r="D307" s="3">
        <v>146.6</v>
      </c>
      <c r="E307" s="3">
        <v>204</v>
      </c>
      <c r="F307" s="3">
        <v>172.8</v>
      </c>
      <c r="G307" s="3">
        <v>158.4</v>
      </c>
      <c r="H307" s="3">
        <v>188</v>
      </c>
      <c r="I307" s="3">
        <v>156.8</v>
      </c>
      <c r="J307" s="3">
        <v>162.2</v>
      </c>
      <c r="K307" s="3">
        <v>164.1</v>
      </c>
      <c r="L307" s="3">
        <v>119.7</v>
      </c>
      <c r="M307" s="3">
        <v>168.8</v>
      </c>
      <c r="N307" s="3">
        <v>162.7</v>
      </c>
      <c r="O307" s="3">
        <v>173.9</v>
      </c>
      <c r="P307" s="3">
        <v>164</v>
      </c>
      <c r="Q307" s="68">
        <f t="shared" si="20"/>
        <v>2142</v>
      </c>
      <c r="R307" s="3">
        <v>192.1</v>
      </c>
      <c r="S307" s="3">
        <v>164.5</v>
      </c>
      <c r="T307" s="3">
        <v>155.3</v>
      </c>
      <c r="U307" s="3">
        <v>163.2</v>
      </c>
      <c r="V307" s="69">
        <f t="shared" si="21"/>
        <v>483</v>
      </c>
      <c r="W307" s="3">
        <v>162.1</v>
      </c>
      <c r="X307" s="3">
        <v>157.5</v>
      </c>
      <c r="Y307" s="3">
        <v>162.6</v>
      </c>
      <c r="Z307" s="3">
        <f t="shared" si="22"/>
        <v>482.2</v>
      </c>
      <c r="AA307" s="3">
        <v>154</v>
      </c>
      <c r="AB307" s="3">
        <v>160</v>
      </c>
      <c r="AC307" s="3">
        <v>168.4</v>
      </c>
      <c r="AD307" s="68">
        <f t="shared" si="23"/>
        <v>328.4</v>
      </c>
      <c r="AE307" s="3">
        <v>163.8</v>
      </c>
      <c r="AF307" s="3">
        <v>157.6</v>
      </c>
      <c r="AG307" s="3">
        <v>160</v>
      </c>
      <c r="AH307" s="3">
        <v>163.2</v>
      </c>
      <c r="AI307" s="3">
        <f t="shared" si="24"/>
        <v>4426.3</v>
      </c>
    </row>
    <row r="308" spans="1:35">
      <c r="A308" s="3" t="s">
        <v>14</v>
      </c>
      <c r="B308" s="3">
        <v>2021</v>
      </c>
      <c r="C308" s="3" t="s">
        <v>33</v>
      </c>
      <c r="D308" s="3">
        <v>145.4</v>
      </c>
      <c r="E308" s="3">
        <v>202.1</v>
      </c>
      <c r="F308" s="3">
        <v>172</v>
      </c>
      <c r="G308" s="3">
        <v>158</v>
      </c>
      <c r="H308" s="3">
        <v>195.5</v>
      </c>
      <c r="I308" s="3">
        <v>152.7</v>
      </c>
      <c r="J308" s="3">
        <v>151.4</v>
      </c>
      <c r="K308" s="3">
        <v>163.9</v>
      </c>
      <c r="L308" s="3">
        <v>119.3</v>
      </c>
      <c r="M308" s="3">
        <v>170.1</v>
      </c>
      <c r="N308" s="3">
        <v>168.3</v>
      </c>
      <c r="O308" s="3">
        <v>172.8</v>
      </c>
      <c r="P308" s="3">
        <v>162.1</v>
      </c>
      <c r="Q308" s="68">
        <f t="shared" si="20"/>
        <v>2133.6</v>
      </c>
      <c r="R308" s="3">
        <v>190.5</v>
      </c>
      <c r="S308" s="3">
        <v>167.7</v>
      </c>
      <c r="T308" s="3">
        <v>163.6</v>
      </c>
      <c r="U308" s="3">
        <v>167.1</v>
      </c>
      <c r="V308" s="69">
        <f t="shared" si="21"/>
        <v>498.4</v>
      </c>
      <c r="W308" s="75">
        <v>162.1</v>
      </c>
      <c r="X308" s="3">
        <v>161.3</v>
      </c>
      <c r="Y308" s="3">
        <v>163.7</v>
      </c>
      <c r="Z308" s="3">
        <f t="shared" si="22"/>
        <v>487.1</v>
      </c>
      <c r="AA308" s="3">
        <v>157.8</v>
      </c>
      <c r="AB308" s="3">
        <v>160.2</v>
      </c>
      <c r="AC308" s="3">
        <v>171.9</v>
      </c>
      <c r="AD308" s="68">
        <f t="shared" si="23"/>
        <v>332.1</v>
      </c>
      <c r="AE308" s="3">
        <v>168.5</v>
      </c>
      <c r="AF308" s="3">
        <v>162.7</v>
      </c>
      <c r="AG308" s="3">
        <v>163.8</v>
      </c>
      <c r="AH308" s="3">
        <v>164</v>
      </c>
      <c r="AI308" s="3">
        <f t="shared" si="24"/>
        <v>4458.5</v>
      </c>
    </row>
    <row r="309" spans="1:35">
      <c r="A309" s="3" t="s">
        <v>16</v>
      </c>
      <c r="B309" s="3">
        <v>2021</v>
      </c>
      <c r="C309" s="3" t="s">
        <v>33</v>
      </c>
      <c r="D309" s="3">
        <v>149.3</v>
      </c>
      <c r="E309" s="3">
        <v>207.4</v>
      </c>
      <c r="F309" s="3">
        <v>174.1</v>
      </c>
      <c r="G309" s="3">
        <v>159.1</v>
      </c>
      <c r="H309" s="3">
        <v>175</v>
      </c>
      <c r="I309" s="3">
        <v>161.2</v>
      </c>
      <c r="J309" s="3">
        <v>183.5</v>
      </c>
      <c r="K309" s="3">
        <v>164.5</v>
      </c>
      <c r="L309" s="3">
        <v>120.4</v>
      </c>
      <c r="M309" s="3">
        <v>166.2</v>
      </c>
      <c r="N309" s="3">
        <v>154.8</v>
      </c>
      <c r="O309" s="3">
        <v>175.1</v>
      </c>
      <c r="P309" s="3">
        <v>167.3</v>
      </c>
      <c r="Q309" s="68">
        <f t="shared" si="20"/>
        <v>2157.9</v>
      </c>
      <c r="R309" s="3">
        <v>196.5</v>
      </c>
      <c r="S309" s="3">
        <v>159.8</v>
      </c>
      <c r="T309" s="3">
        <v>143.6</v>
      </c>
      <c r="U309" s="3">
        <v>157.4</v>
      </c>
      <c r="V309" s="69">
        <f t="shared" si="21"/>
        <v>460.8</v>
      </c>
      <c r="W309" s="3">
        <v>162.1</v>
      </c>
      <c r="X309" s="3">
        <v>153.3</v>
      </c>
      <c r="Y309" s="3">
        <v>160.8</v>
      </c>
      <c r="Z309" s="3">
        <f t="shared" si="22"/>
        <v>476.2</v>
      </c>
      <c r="AA309" s="3">
        <v>150.5</v>
      </c>
      <c r="AB309" s="3">
        <v>159.6</v>
      </c>
      <c r="AC309" s="3">
        <v>162.8</v>
      </c>
      <c r="AD309" s="68">
        <f t="shared" si="23"/>
        <v>322.4</v>
      </c>
      <c r="AE309" s="3">
        <v>160.3</v>
      </c>
      <c r="AF309" s="3">
        <v>153.9</v>
      </c>
      <c r="AG309" s="3">
        <v>156</v>
      </c>
      <c r="AH309" s="3">
        <v>162.3</v>
      </c>
      <c r="AI309" s="3">
        <f t="shared" si="24"/>
        <v>4396.8</v>
      </c>
    </row>
    <row r="310" spans="1:35">
      <c r="A310" s="3" t="s">
        <v>17</v>
      </c>
      <c r="B310" s="3">
        <v>2021</v>
      </c>
      <c r="C310" s="3" t="s">
        <v>33</v>
      </c>
      <c r="D310" s="3">
        <v>146.6</v>
      </c>
      <c r="E310" s="3">
        <v>204</v>
      </c>
      <c r="F310" s="3">
        <v>172.8</v>
      </c>
      <c r="G310" s="3">
        <v>158.4</v>
      </c>
      <c r="H310" s="3">
        <v>188</v>
      </c>
      <c r="I310" s="3">
        <v>156.7</v>
      </c>
      <c r="J310" s="3">
        <v>162.3</v>
      </c>
      <c r="K310" s="3">
        <v>164.1</v>
      </c>
      <c r="L310" s="3">
        <v>119.7</v>
      </c>
      <c r="M310" s="3">
        <v>168.8</v>
      </c>
      <c r="N310" s="3">
        <v>162.7</v>
      </c>
      <c r="O310" s="3">
        <v>173.9</v>
      </c>
      <c r="P310" s="3">
        <v>164</v>
      </c>
      <c r="Q310" s="68">
        <f t="shared" si="20"/>
        <v>2142</v>
      </c>
      <c r="R310" s="3">
        <v>192.1</v>
      </c>
      <c r="S310" s="3">
        <v>164.6</v>
      </c>
      <c r="T310" s="3">
        <v>155.3</v>
      </c>
      <c r="U310" s="3">
        <v>163.3</v>
      </c>
      <c r="V310" s="69">
        <f t="shared" si="21"/>
        <v>483.2</v>
      </c>
      <c r="W310" s="3">
        <v>162.1</v>
      </c>
      <c r="X310" s="3">
        <v>157.5</v>
      </c>
      <c r="Y310" s="3">
        <v>162.6</v>
      </c>
      <c r="Z310" s="3">
        <f t="shared" si="22"/>
        <v>482.2</v>
      </c>
      <c r="AA310" s="3">
        <v>154</v>
      </c>
      <c r="AB310" s="3">
        <v>160</v>
      </c>
      <c r="AC310" s="3">
        <v>168.4</v>
      </c>
      <c r="AD310" s="68">
        <f t="shared" si="23"/>
        <v>328.4</v>
      </c>
      <c r="AE310" s="3">
        <v>163.7</v>
      </c>
      <c r="AF310" s="3">
        <v>157.7</v>
      </c>
      <c r="AG310" s="3">
        <v>160</v>
      </c>
      <c r="AH310" s="3">
        <v>163.2</v>
      </c>
      <c r="AI310" s="3">
        <f t="shared" si="24"/>
        <v>4426.5</v>
      </c>
    </row>
    <row r="311" spans="1:35">
      <c r="A311" s="3" t="s">
        <v>14</v>
      </c>
      <c r="B311" s="3">
        <v>2021</v>
      </c>
      <c r="C311" s="3" t="s">
        <v>34</v>
      </c>
      <c r="D311" s="3">
        <v>146.1</v>
      </c>
      <c r="E311" s="3">
        <v>202.5</v>
      </c>
      <c r="F311" s="3">
        <v>170.1</v>
      </c>
      <c r="G311" s="3">
        <v>158.4</v>
      </c>
      <c r="H311" s="3">
        <v>198.8</v>
      </c>
      <c r="I311" s="3">
        <v>152.6</v>
      </c>
      <c r="J311" s="3">
        <v>170.4</v>
      </c>
      <c r="K311" s="3">
        <v>165.2</v>
      </c>
      <c r="L311" s="3">
        <v>121.6</v>
      </c>
      <c r="M311" s="3">
        <v>170.6</v>
      </c>
      <c r="N311" s="3">
        <v>168.8</v>
      </c>
      <c r="O311" s="3">
        <v>173.6</v>
      </c>
      <c r="P311" s="3">
        <v>165.5</v>
      </c>
      <c r="Q311" s="68">
        <f t="shared" si="20"/>
        <v>2164.2</v>
      </c>
      <c r="R311" s="3">
        <v>191.2</v>
      </c>
      <c r="S311" s="3">
        <v>168.9</v>
      </c>
      <c r="T311" s="3">
        <v>164.8</v>
      </c>
      <c r="U311" s="3">
        <v>168.3</v>
      </c>
      <c r="V311" s="69">
        <f t="shared" si="21"/>
        <v>502</v>
      </c>
      <c r="W311" s="75">
        <v>163.6</v>
      </c>
      <c r="X311" s="3">
        <v>162</v>
      </c>
      <c r="Y311" s="3">
        <v>165.5</v>
      </c>
      <c r="Z311" s="3">
        <f t="shared" si="22"/>
        <v>491.1</v>
      </c>
      <c r="AA311" s="3">
        <v>159.5</v>
      </c>
      <c r="AB311" s="3">
        <v>161.1</v>
      </c>
      <c r="AC311" s="3">
        <v>172.5</v>
      </c>
      <c r="AD311" s="68">
        <f t="shared" si="23"/>
        <v>333.6</v>
      </c>
      <c r="AE311" s="3">
        <v>169</v>
      </c>
      <c r="AF311" s="3">
        <v>163.2</v>
      </c>
      <c r="AG311" s="3">
        <v>164.7</v>
      </c>
      <c r="AH311" s="3">
        <v>166.3</v>
      </c>
      <c r="AI311" s="3">
        <f t="shared" si="24"/>
        <v>4504.8</v>
      </c>
    </row>
    <row r="312" spans="1:35">
      <c r="A312" s="3" t="s">
        <v>16</v>
      </c>
      <c r="B312" s="3">
        <v>2021</v>
      </c>
      <c r="C312" s="3" t="s">
        <v>34</v>
      </c>
      <c r="D312" s="3">
        <v>150.1</v>
      </c>
      <c r="E312" s="3">
        <v>208.4</v>
      </c>
      <c r="F312" s="3">
        <v>173</v>
      </c>
      <c r="G312" s="3">
        <v>159.2</v>
      </c>
      <c r="H312" s="3">
        <v>176.6</v>
      </c>
      <c r="I312" s="3">
        <v>159.3</v>
      </c>
      <c r="J312" s="3">
        <v>214.4</v>
      </c>
      <c r="K312" s="3">
        <v>165.3</v>
      </c>
      <c r="L312" s="3">
        <v>122.5</v>
      </c>
      <c r="M312" s="3">
        <v>166.8</v>
      </c>
      <c r="N312" s="3">
        <v>155.4</v>
      </c>
      <c r="O312" s="3">
        <v>175.9</v>
      </c>
      <c r="P312" s="3">
        <v>171.5</v>
      </c>
      <c r="Q312" s="68">
        <f t="shared" si="20"/>
        <v>2198.4</v>
      </c>
      <c r="R312" s="3">
        <v>197</v>
      </c>
      <c r="S312" s="3">
        <v>160.8</v>
      </c>
      <c r="T312" s="3">
        <v>144.4</v>
      </c>
      <c r="U312" s="3">
        <v>158.3</v>
      </c>
      <c r="V312" s="69">
        <f t="shared" si="21"/>
        <v>463.5</v>
      </c>
      <c r="W312" s="3">
        <v>163.6</v>
      </c>
      <c r="X312" s="3">
        <v>154.3</v>
      </c>
      <c r="Y312" s="3">
        <v>162.2</v>
      </c>
      <c r="Z312" s="3">
        <f t="shared" si="22"/>
        <v>480.1</v>
      </c>
      <c r="AA312" s="3">
        <v>152.2</v>
      </c>
      <c r="AB312" s="3">
        <v>160.3</v>
      </c>
      <c r="AC312" s="3">
        <v>163.5</v>
      </c>
      <c r="AD312" s="68">
        <f t="shared" si="23"/>
        <v>323.8</v>
      </c>
      <c r="AE312" s="3">
        <v>160.3</v>
      </c>
      <c r="AF312" s="3">
        <v>155.1</v>
      </c>
      <c r="AG312" s="3">
        <v>157</v>
      </c>
      <c r="AH312" s="3">
        <v>164.6</v>
      </c>
      <c r="AI312" s="3">
        <f t="shared" si="24"/>
        <v>4452</v>
      </c>
    </row>
    <row r="313" spans="1:35">
      <c r="A313" s="3" t="s">
        <v>17</v>
      </c>
      <c r="B313" s="3">
        <v>2021</v>
      </c>
      <c r="C313" s="3" t="s">
        <v>34</v>
      </c>
      <c r="D313" s="3">
        <v>147.4</v>
      </c>
      <c r="E313" s="3">
        <v>204.6</v>
      </c>
      <c r="F313" s="3">
        <v>171.2</v>
      </c>
      <c r="G313" s="3">
        <v>158.7</v>
      </c>
      <c r="H313" s="3">
        <v>190.6</v>
      </c>
      <c r="I313" s="3">
        <v>155.7</v>
      </c>
      <c r="J313" s="3">
        <v>185.3</v>
      </c>
      <c r="K313" s="3">
        <v>165.2</v>
      </c>
      <c r="L313" s="3">
        <v>121.9</v>
      </c>
      <c r="M313" s="3">
        <v>169.3</v>
      </c>
      <c r="N313" s="3">
        <v>163.2</v>
      </c>
      <c r="O313" s="3">
        <v>174.7</v>
      </c>
      <c r="P313" s="3">
        <v>167.7</v>
      </c>
      <c r="Q313" s="68">
        <f t="shared" si="20"/>
        <v>2175.5</v>
      </c>
      <c r="R313" s="3">
        <v>192.7</v>
      </c>
      <c r="S313" s="3">
        <v>165.7</v>
      </c>
      <c r="T313" s="3">
        <v>156.3</v>
      </c>
      <c r="U313" s="3">
        <v>164.3</v>
      </c>
      <c r="V313" s="69">
        <f t="shared" si="21"/>
        <v>486.3</v>
      </c>
      <c r="W313" s="3">
        <v>163.6</v>
      </c>
      <c r="X313" s="3">
        <v>158.4</v>
      </c>
      <c r="Y313" s="3">
        <v>164.2</v>
      </c>
      <c r="Z313" s="3">
        <f t="shared" si="22"/>
        <v>486.2</v>
      </c>
      <c r="AA313" s="3">
        <v>155.7</v>
      </c>
      <c r="AB313" s="3">
        <v>160.8</v>
      </c>
      <c r="AC313" s="3">
        <v>169.1</v>
      </c>
      <c r="AD313" s="68">
        <f t="shared" si="23"/>
        <v>329.9</v>
      </c>
      <c r="AE313" s="3">
        <v>163.9</v>
      </c>
      <c r="AF313" s="3">
        <v>158.6</v>
      </c>
      <c r="AG313" s="3">
        <v>161</v>
      </c>
      <c r="AH313" s="3">
        <v>165.5</v>
      </c>
      <c r="AI313" s="3">
        <f t="shared" si="24"/>
        <v>4475.3</v>
      </c>
    </row>
    <row r="314" spans="1:35">
      <c r="A314" s="3" t="s">
        <v>14</v>
      </c>
      <c r="B314" s="3">
        <v>2021</v>
      </c>
      <c r="C314" s="3" t="s">
        <v>36</v>
      </c>
      <c r="D314" s="3">
        <v>146.9</v>
      </c>
      <c r="E314" s="3">
        <v>199.8</v>
      </c>
      <c r="F314" s="3">
        <v>171.5</v>
      </c>
      <c r="G314" s="3">
        <v>159.1</v>
      </c>
      <c r="H314" s="3">
        <v>198.4</v>
      </c>
      <c r="I314" s="3">
        <v>153.2</v>
      </c>
      <c r="J314" s="3">
        <v>183.9</v>
      </c>
      <c r="K314" s="3">
        <v>165.4</v>
      </c>
      <c r="L314" s="3">
        <v>122.1</v>
      </c>
      <c r="M314" s="3">
        <v>170.8</v>
      </c>
      <c r="N314" s="3">
        <v>169.1</v>
      </c>
      <c r="O314" s="3">
        <v>174.3</v>
      </c>
      <c r="P314" s="3">
        <v>167.5</v>
      </c>
      <c r="Q314" s="68">
        <f t="shared" si="20"/>
        <v>2182</v>
      </c>
      <c r="R314" s="3">
        <v>191.4</v>
      </c>
      <c r="S314" s="3">
        <v>170.4</v>
      </c>
      <c r="T314" s="3">
        <v>166</v>
      </c>
      <c r="U314" s="3">
        <v>169.8</v>
      </c>
      <c r="V314" s="69">
        <f t="shared" si="21"/>
        <v>506.2</v>
      </c>
      <c r="W314" s="75">
        <v>164.2</v>
      </c>
      <c r="X314" s="3">
        <v>162.9</v>
      </c>
      <c r="Y314" s="3">
        <v>165.3</v>
      </c>
      <c r="Z314" s="3">
        <f t="shared" si="22"/>
        <v>492.4</v>
      </c>
      <c r="AA314" s="3">
        <v>158.9</v>
      </c>
      <c r="AB314" s="3">
        <v>162.4</v>
      </c>
      <c r="AC314" s="3">
        <v>173.4</v>
      </c>
      <c r="AD314" s="68">
        <f t="shared" si="23"/>
        <v>335.8</v>
      </c>
      <c r="AE314" s="3">
        <v>169.3</v>
      </c>
      <c r="AF314" s="3">
        <v>163.8</v>
      </c>
      <c r="AG314" s="3">
        <v>165.2</v>
      </c>
      <c r="AH314" s="3">
        <v>167.6</v>
      </c>
      <c r="AI314" s="3">
        <f t="shared" si="24"/>
        <v>4532.6</v>
      </c>
    </row>
    <row r="315" spans="1:35">
      <c r="A315" s="3" t="s">
        <v>16</v>
      </c>
      <c r="B315" s="3">
        <v>2021</v>
      </c>
      <c r="C315" s="3" t="s">
        <v>36</v>
      </c>
      <c r="D315" s="3">
        <v>151</v>
      </c>
      <c r="E315" s="3">
        <v>204.9</v>
      </c>
      <c r="F315" s="3">
        <v>175.4</v>
      </c>
      <c r="G315" s="3">
        <v>159.6</v>
      </c>
      <c r="H315" s="3">
        <v>175.8</v>
      </c>
      <c r="I315" s="3">
        <v>160.3</v>
      </c>
      <c r="J315" s="3">
        <v>229.1</v>
      </c>
      <c r="K315" s="3">
        <v>165.1</v>
      </c>
      <c r="L315" s="3">
        <v>123.1</v>
      </c>
      <c r="M315" s="3">
        <v>167.2</v>
      </c>
      <c r="N315" s="3">
        <v>156.1</v>
      </c>
      <c r="O315" s="3">
        <v>176.8</v>
      </c>
      <c r="P315" s="3">
        <v>173.5</v>
      </c>
      <c r="Q315" s="68">
        <f t="shared" si="20"/>
        <v>2217.9</v>
      </c>
      <c r="R315" s="3">
        <v>197</v>
      </c>
      <c r="S315" s="3">
        <v>162.3</v>
      </c>
      <c r="T315" s="3">
        <v>145.3</v>
      </c>
      <c r="U315" s="3">
        <v>159.7</v>
      </c>
      <c r="V315" s="69">
        <f t="shared" si="21"/>
        <v>467.3</v>
      </c>
      <c r="W315" s="3">
        <v>164.2</v>
      </c>
      <c r="X315" s="3">
        <v>155.2</v>
      </c>
      <c r="Y315" s="3">
        <v>161.6</v>
      </c>
      <c r="Z315" s="3">
        <f t="shared" si="22"/>
        <v>481</v>
      </c>
      <c r="AA315" s="3">
        <v>151.2</v>
      </c>
      <c r="AB315" s="3">
        <v>161.8</v>
      </c>
      <c r="AC315" s="3">
        <v>164.2</v>
      </c>
      <c r="AD315" s="68">
        <f t="shared" si="23"/>
        <v>326</v>
      </c>
      <c r="AE315" s="3">
        <v>160.8</v>
      </c>
      <c r="AF315" s="3">
        <v>156.7</v>
      </c>
      <c r="AG315" s="3">
        <v>157.3</v>
      </c>
      <c r="AH315" s="3">
        <v>165.6</v>
      </c>
      <c r="AI315" s="3">
        <f t="shared" si="24"/>
        <v>4480.8</v>
      </c>
    </row>
    <row r="316" spans="1:35">
      <c r="A316" s="3" t="s">
        <v>17</v>
      </c>
      <c r="B316" s="3">
        <v>2021</v>
      </c>
      <c r="C316" s="3" t="s">
        <v>36</v>
      </c>
      <c r="D316" s="3">
        <v>148.2</v>
      </c>
      <c r="E316" s="3">
        <v>201.6</v>
      </c>
      <c r="F316" s="3">
        <v>173</v>
      </c>
      <c r="G316" s="3">
        <v>159.3</v>
      </c>
      <c r="H316" s="3">
        <v>190.1</v>
      </c>
      <c r="I316" s="3">
        <v>156.5</v>
      </c>
      <c r="J316" s="3">
        <v>199.2</v>
      </c>
      <c r="K316" s="3">
        <v>165.3</v>
      </c>
      <c r="L316" s="3">
        <v>122.4</v>
      </c>
      <c r="M316" s="3">
        <v>169.6</v>
      </c>
      <c r="N316" s="3">
        <v>163.7</v>
      </c>
      <c r="O316" s="3">
        <v>175.5</v>
      </c>
      <c r="P316" s="3">
        <v>169.7</v>
      </c>
      <c r="Q316" s="68">
        <f t="shared" si="20"/>
        <v>2194.1</v>
      </c>
      <c r="R316" s="3">
        <v>192.9</v>
      </c>
      <c r="S316" s="3">
        <v>167.2</v>
      </c>
      <c r="T316" s="3">
        <v>157.4</v>
      </c>
      <c r="U316" s="3">
        <v>165.8</v>
      </c>
      <c r="V316" s="69">
        <f t="shared" si="21"/>
        <v>490.4</v>
      </c>
      <c r="W316" s="3">
        <v>164.2</v>
      </c>
      <c r="X316" s="3">
        <v>159.3</v>
      </c>
      <c r="Y316" s="3">
        <v>163.9</v>
      </c>
      <c r="Z316" s="3">
        <f t="shared" si="22"/>
        <v>487.4</v>
      </c>
      <c r="AA316" s="3">
        <v>154.8</v>
      </c>
      <c r="AB316" s="3">
        <v>162.2</v>
      </c>
      <c r="AC316" s="3">
        <v>169.9</v>
      </c>
      <c r="AD316" s="68">
        <f t="shared" si="23"/>
        <v>332.1</v>
      </c>
      <c r="AE316" s="3">
        <v>164.3</v>
      </c>
      <c r="AF316" s="3">
        <v>159.8</v>
      </c>
      <c r="AG316" s="3">
        <v>161.4</v>
      </c>
      <c r="AH316" s="3">
        <v>166.7</v>
      </c>
      <c r="AI316" s="3">
        <f t="shared" si="24"/>
        <v>4503.9</v>
      </c>
    </row>
    <row r="317" spans="1:35">
      <c r="A317" s="3" t="s">
        <v>14</v>
      </c>
      <c r="B317" s="3">
        <v>2021</v>
      </c>
      <c r="C317" s="3" t="s">
        <v>37</v>
      </c>
      <c r="D317" s="3">
        <v>147.4</v>
      </c>
      <c r="E317" s="3">
        <v>197</v>
      </c>
      <c r="F317" s="3">
        <v>176.5</v>
      </c>
      <c r="G317" s="3">
        <v>159.8</v>
      </c>
      <c r="H317" s="3">
        <v>195.8</v>
      </c>
      <c r="I317" s="3">
        <v>152</v>
      </c>
      <c r="J317" s="3">
        <v>172.3</v>
      </c>
      <c r="K317" s="3">
        <v>164.5</v>
      </c>
      <c r="L317" s="3">
        <v>120.6</v>
      </c>
      <c r="M317" s="3">
        <v>171.7</v>
      </c>
      <c r="N317" s="3">
        <v>169.7</v>
      </c>
      <c r="O317" s="3">
        <v>175.1</v>
      </c>
      <c r="P317" s="3">
        <v>165.8</v>
      </c>
      <c r="Q317" s="68">
        <f t="shared" si="20"/>
        <v>2168.2</v>
      </c>
      <c r="R317" s="3">
        <v>190.8</v>
      </c>
      <c r="S317" s="3">
        <v>171.8</v>
      </c>
      <c r="T317" s="3">
        <v>167.3</v>
      </c>
      <c r="U317" s="3">
        <v>171.2</v>
      </c>
      <c r="V317" s="69">
        <f t="shared" si="21"/>
        <v>510.3</v>
      </c>
      <c r="W317" s="75">
        <v>163.4</v>
      </c>
      <c r="X317" s="3">
        <v>163.9</v>
      </c>
      <c r="Y317" s="3">
        <v>165.6</v>
      </c>
      <c r="Z317" s="3">
        <f t="shared" si="22"/>
        <v>492.9</v>
      </c>
      <c r="AA317" s="3">
        <v>160.1</v>
      </c>
      <c r="AB317" s="3">
        <v>162.8</v>
      </c>
      <c r="AC317" s="3">
        <v>174</v>
      </c>
      <c r="AD317" s="68">
        <f t="shared" si="23"/>
        <v>336.8</v>
      </c>
      <c r="AE317" s="3">
        <v>169.7</v>
      </c>
      <c r="AF317" s="3">
        <v>164.5</v>
      </c>
      <c r="AG317" s="3">
        <v>166</v>
      </c>
      <c r="AH317" s="3">
        <v>167</v>
      </c>
      <c r="AI317" s="3">
        <f t="shared" si="24"/>
        <v>4526.3</v>
      </c>
    </row>
    <row r="318" spans="1:35">
      <c r="A318" s="3" t="s">
        <v>16</v>
      </c>
      <c r="B318" s="3">
        <v>2021</v>
      </c>
      <c r="C318" s="3" t="s">
        <v>37</v>
      </c>
      <c r="D318" s="3">
        <v>151.6</v>
      </c>
      <c r="E318" s="3">
        <v>202.2</v>
      </c>
      <c r="F318" s="3">
        <v>180</v>
      </c>
      <c r="G318" s="3">
        <v>160</v>
      </c>
      <c r="H318" s="3">
        <v>173.5</v>
      </c>
      <c r="I318" s="3">
        <v>158.3</v>
      </c>
      <c r="J318" s="3">
        <v>219.5</v>
      </c>
      <c r="K318" s="3">
        <v>164.2</v>
      </c>
      <c r="L318" s="3">
        <v>121.9</v>
      </c>
      <c r="M318" s="3">
        <v>168.2</v>
      </c>
      <c r="N318" s="3">
        <v>156.5</v>
      </c>
      <c r="O318" s="3">
        <v>178.2</v>
      </c>
      <c r="P318" s="3">
        <v>172.2</v>
      </c>
      <c r="Q318" s="68">
        <f t="shared" si="20"/>
        <v>2206.3</v>
      </c>
      <c r="R318" s="3">
        <v>196.8</v>
      </c>
      <c r="S318" s="3">
        <v>163.3</v>
      </c>
      <c r="T318" s="3">
        <v>146.7</v>
      </c>
      <c r="U318" s="3">
        <v>160.7</v>
      </c>
      <c r="V318" s="69">
        <f t="shared" si="21"/>
        <v>470.7</v>
      </c>
      <c r="W318" s="3">
        <v>163.4</v>
      </c>
      <c r="X318" s="3">
        <v>156</v>
      </c>
      <c r="Y318" s="3">
        <v>161.7</v>
      </c>
      <c r="Z318" s="3">
        <f t="shared" si="22"/>
        <v>481.1</v>
      </c>
      <c r="AA318" s="3">
        <v>151.8</v>
      </c>
      <c r="AB318" s="3">
        <v>162.4</v>
      </c>
      <c r="AC318" s="3">
        <v>165.1</v>
      </c>
      <c r="AD318" s="68">
        <f t="shared" si="23"/>
        <v>327.5</v>
      </c>
      <c r="AE318" s="3">
        <v>160.6</v>
      </c>
      <c r="AF318" s="3">
        <v>157.6</v>
      </c>
      <c r="AG318" s="3">
        <v>157.8</v>
      </c>
      <c r="AH318" s="3">
        <v>165.2</v>
      </c>
      <c r="AI318" s="3">
        <f t="shared" si="24"/>
        <v>4475.4</v>
      </c>
    </row>
    <row r="319" spans="1:35">
      <c r="A319" s="3" t="s">
        <v>17</v>
      </c>
      <c r="B319" s="3">
        <v>2021</v>
      </c>
      <c r="C319" s="3" t="s">
        <v>37</v>
      </c>
      <c r="D319" s="3">
        <v>148.7</v>
      </c>
      <c r="E319" s="3">
        <v>198.8</v>
      </c>
      <c r="F319" s="3">
        <v>177.9</v>
      </c>
      <c r="G319" s="3">
        <v>159.9</v>
      </c>
      <c r="H319" s="3">
        <v>187.6</v>
      </c>
      <c r="I319" s="3">
        <v>154.9</v>
      </c>
      <c r="J319" s="3">
        <v>188.3</v>
      </c>
      <c r="K319" s="3">
        <v>164.4</v>
      </c>
      <c r="L319" s="3">
        <v>121</v>
      </c>
      <c r="M319" s="3">
        <v>170.5</v>
      </c>
      <c r="N319" s="3">
        <v>164.2</v>
      </c>
      <c r="O319" s="3">
        <v>176.5</v>
      </c>
      <c r="P319" s="3">
        <v>168.2</v>
      </c>
      <c r="Q319" s="68">
        <f t="shared" si="20"/>
        <v>2180.9</v>
      </c>
      <c r="R319" s="3">
        <v>192.4</v>
      </c>
      <c r="S319" s="3">
        <v>168.5</v>
      </c>
      <c r="T319" s="3">
        <v>158.7</v>
      </c>
      <c r="U319" s="3">
        <v>167</v>
      </c>
      <c r="V319" s="69">
        <f t="shared" si="21"/>
        <v>494.2</v>
      </c>
      <c r="W319" s="3">
        <v>163.4</v>
      </c>
      <c r="X319" s="3">
        <v>160.2</v>
      </c>
      <c r="Y319" s="3">
        <v>164.1</v>
      </c>
      <c r="Z319" s="3">
        <f t="shared" si="22"/>
        <v>487.7</v>
      </c>
      <c r="AA319" s="3">
        <v>155.7</v>
      </c>
      <c r="AB319" s="3">
        <v>162.6</v>
      </c>
      <c r="AC319" s="3">
        <v>170.6</v>
      </c>
      <c r="AD319" s="68">
        <f t="shared" si="23"/>
        <v>333.2</v>
      </c>
      <c r="AE319" s="3">
        <v>164.4</v>
      </c>
      <c r="AF319" s="3">
        <v>160.6</v>
      </c>
      <c r="AG319" s="3">
        <v>162</v>
      </c>
      <c r="AH319" s="3">
        <v>166.2</v>
      </c>
      <c r="AI319" s="3">
        <f t="shared" si="24"/>
        <v>4497.3</v>
      </c>
    </row>
    <row r="320" spans="1:35">
      <c r="A320" s="3" t="s">
        <v>14</v>
      </c>
      <c r="B320" s="3">
        <v>2022</v>
      </c>
      <c r="C320" s="3" t="s">
        <v>19</v>
      </c>
      <c r="D320" s="3">
        <v>148.3</v>
      </c>
      <c r="E320" s="3">
        <v>196.9</v>
      </c>
      <c r="F320" s="3">
        <v>178</v>
      </c>
      <c r="G320" s="3">
        <v>160.5</v>
      </c>
      <c r="H320" s="3">
        <v>192.6</v>
      </c>
      <c r="I320" s="3">
        <v>151.2</v>
      </c>
      <c r="J320" s="3">
        <v>159.2</v>
      </c>
      <c r="K320" s="3">
        <v>164</v>
      </c>
      <c r="L320" s="3">
        <v>119.3</v>
      </c>
      <c r="M320" s="3">
        <v>173.3</v>
      </c>
      <c r="N320" s="3">
        <v>169.8</v>
      </c>
      <c r="O320" s="3">
        <v>175.8</v>
      </c>
      <c r="P320" s="3">
        <v>164.1</v>
      </c>
      <c r="Q320" s="68">
        <f t="shared" si="20"/>
        <v>2153</v>
      </c>
      <c r="R320" s="3">
        <v>190.7</v>
      </c>
      <c r="S320" s="3">
        <v>173.2</v>
      </c>
      <c r="T320" s="3">
        <v>169.3</v>
      </c>
      <c r="U320" s="3">
        <v>172.7</v>
      </c>
      <c r="V320" s="69">
        <f t="shared" si="21"/>
        <v>515.2</v>
      </c>
      <c r="W320" s="75">
        <v>164.5</v>
      </c>
      <c r="X320" s="3">
        <v>164.9</v>
      </c>
      <c r="Y320" s="3">
        <v>165.8</v>
      </c>
      <c r="Z320" s="3">
        <f t="shared" si="22"/>
        <v>495.2</v>
      </c>
      <c r="AA320" s="3">
        <v>160.8</v>
      </c>
      <c r="AB320" s="3">
        <v>163.2</v>
      </c>
      <c r="AC320" s="3">
        <v>174.7</v>
      </c>
      <c r="AD320" s="68">
        <f t="shared" si="23"/>
        <v>337.9</v>
      </c>
      <c r="AE320" s="3">
        <v>169.9</v>
      </c>
      <c r="AF320" s="3">
        <v>164.9</v>
      </c>
      <c r="AG320" s="3">
        <v>166.6</v>
      </c>
      <c r="AH320" s="3">
        <v>166.4</v>
      </c>
      <c r="AI320" s="3">
        <f t="shared" si="24"/>
        <v>4520.6</v>
      </c>
    </row>
    <row r="321" spans="1:35">
      <c r="A321" s="3" t="s">
        <v>16</v>
      </c>
      <c r="B321" s="3">
        <v>2022</v>
      </c>
      <c r="C321" s="3" t="s">
        <v>19</v>
      </c>
      <c r="D321" s="3">
        <v>152.2</v>
      </c>
      <c r="E321" s="3">
        <v>202.1</v>
      </c>
      <c r="F321" s="3">
        <v>180.1</v>
      </c>
      <c r="G321" s="3">
        <v>160.4</v>
      </c>
      <c r="H321" s="3">
        <v>171</v>
      </c>
      <c r="I321" s="3">
        <v>156.5</v>
      </c>
      <c r="J321" s="3">
        <v>203.6</v>
      </c>
      <c r="K321" s="3">
        <v>163.8</v>
      </c>
      <c r="L321" s="3">
        <v>121.3</v>
      </c>
      <c r="M321" s="3">
        <v>169.8</v>
      </c>
      <c r="N321" s="3">
        <v>156.6</v>
      </c>
      <c r="O321" s="3">
        <v>179</v>
      </c>
      <c r="P321" s="3">
        <v>170.3</v>
      </c>
      <c r="Q321" s="68">
        <f t="shared" si="20"/>
        <v>2186.7</v>
      </c>
      <c r="R321" s="3">
        <v>196.4</v>
      </c>
      <c r="S321" s="3">
        <v>164.7</v>
      </c>
      <c r="T321" s="3">
        <v>148.5</v>
      </c>
      <c r="U321" s="3">
        <v>162.2</v>
      </c>
      <c r="V321" s="69">
        <f t="shared" si="21"/>
        <v>475.4</v>
      </c>
      <c r="W321" s="3">
        <v>164.5</v>
      </c>
      <c r="X321" s="3">
        <v>156.8</v>
      </c>
      <c r="Y321" s="3">
        <v>161.6</v>
      </c>
      <c r="Z321" s="3">
        <f t="shared" si="22"/>
        <v>482.9</v>
      </c>
      <c r="AA321" s="3">
        <v>152.7</v>
      </c>
      <c r="AB321" s="3">
        <v>162.8</v>
      </c>
      <c r="AC321" s="3">
        <v>166.1</v>
      </c>
      <c r="AD321" s="68">
        <f t="shared" si="23"/>
        <v>328.9</v>
      </c>
      <c r="AE321" s="3">
        <v>161</v>
      </c>
      <c r="AF321" s="3">
        <v>158.4</v>
      </c>
      <c r="AG321" s="3">
        <v>158.6</v>
      </c>
      <c r="AH321" s="3">
        <v>165</v>
      </c>
      <c r="AI321" s="3">
        <f t="shared" si="24"/>
        <v>4466</v>
      </c>
    </row>
    <row r="322" spans="1:35">
      <c r="A322" s="3" t="s">
        <v>17</v>
      </c>
      <c r="B322" s="3">
        <v>2022</v>
      </c>
      <c r="C322" s="3" t="s">
        <v>19</v>
      </c>
      <c r="D322" s="3">
        <v>149.5</v>
      </c>
      <c r="E322" s="3">
        <v>198.7</v>
      </c>
      <c r="F322" s="3">
        <v>178.8</v>
      </c>
      <c r="G322" s="3">
        <v>160.5</v>
      </c>
      <c r="H322" s="3">
        <v>184.7</v>
      </c>
      <c r="I322" s="3">
        <v>153.7</v>
      </c>
      <c r="J322" s="3">
        <v>174.3</v>
      </c>
      <c r="K322" s="3">
        <v>163.9</v>
      </c>
      <c r="L322" s="3">
        <v>120</v>
      </c>
      <c r="M322" s="3">
        <v>172.1</v>
      </c>
      <c r="N322" s="3">
        <v>164.3</v>
      </c>
      <c r="O322" s="3">
        <v>177.3</v>
      </c>
      <c r="P322" s="3">
        <v>166.4</v>
      </c>
      <c r="Q322" s="68">
        <f t="shared" si="20"/>
        <v>2164.2</v>
      </c>
      <c r="R322" s="3">
        <v>192.2</v>
      </c>
      <c r="S322" s="3">
        <v>169.9</v>
      </c>
      <c r="T322" s="3">
        <v>160.7</v>
      </c>
      <c r="U322" s="3">
        <v>168.5</v>
      </c>
      <c r="V322" s="69">
        <f t="shared" si="21"/>
        <v>499.1</v>
      </c>
      <c r="W322" s="3">
        <v>164.5</v>
      </c>
      <c r="X322" s="3">
        <v>161.1</v>
      </c>
      <c r="Y322" s="3">
        <v>164.2</v>
      </c>
      <c r="Z322" s="3">
        <f t="shared" si="22"/>
        <v>489.8</v>
      </c>
      <c r="AA322" s="3">
        <v>156.5</v>
      </c>
      <c r="AB322" s="3">
        <v>163</v>
      </c>
      <c r="AC322" s="3">
        <v>171.4</v>
      </c>
      <c r="AD322" s="68">
        <f t="shared" si="23"/>
        <v>334.4</v>
      </c>
      <c r="AE322" s="3">
        <v>164.7</v>
      </c>
      <c r="AF322" s="3">
        <v>161.2</v>
      </c>
      <c r="AG322" s="3">
        <v>162.7</v>
      </c>
      <c r="AH322" s="3">
        <v>165.7</v>
      </c>
      <c r="AI322" s="3">
        <f t="shared" si="24"/>
        <v>4490.5</v>
      </c>
    </row>
    <row r="323" spans="1:35">
      <c r="A323" s="3" t="s">
        <v>14</v>
      </c>
      <c r="B323" s="3">
        <v>2022</v>
      </c>
      <c r="C323" s="3" t="s">
        <v>20</v>
      </c>
      <c r="D323" s="3">
        <v>148.8</v>
      </c>
      <c r="E323" s="3">
        <v>198.1</v>
      </c>
      <c r="F323" s="3">
        <v>175.5</v>
      </c>
      <c r="G323" s="3">
        <v>160.7</v>
      </c>
      <c r="H323" s="3">
        <v>192.6</v>
      </c>
      <c r="I323" s="3">
        <v>151.4</v>
      </c>
      <c r="J323" s="3">
        <v>155.2</v>
      </c>
      <c r="K323" s="3">
        <v>163.9</v>
      </c>
      <c r="L323" s="3">
        <v>118.1</v>
      </c>
      <c r="M323" s="3">
        <v>175.4</v>
      </c>
      <c r="N323" s="3">
        <v>170.5</v>
      </c>
      <c r="O323" s="3">
        <v>176.3</v>
      </c>
      <c r="P323" s="3">
        <v>163.9</v>
      </c>
      <c r="Q323" s="68">
        <f t="shared" ref="Q323:Q370" si="32">SUM(D323:P323)</f>
        <v>2150.4</v>
      </c>
      <c r="R323" s="3">
        <v>191.5</v>
      </c>
      <c r="S323" s="3">
        <v>174.1</v>
      </c>
      <c r="T323" s="3">
        <v>171</v>
      </c>
      <c r="U323" s="3">
        <v>173.7</v>
      </c>
      <c r="V323" s="69">
        <f t="shared" ref="V323:V370" si="33">SUM(S323:U323)</f>
        <v>518.8</v>
      </c>
      <c r="W323" s="75">
        <v>165.5</v>
      </c>
      <c r="X323" s="3">
        <v>165.7</v>
      </c>
      <c r="Y323" s="3">
        <v>167.4</v>
      </c>
      <c r="Z323" s="3">
        <f t="shared" ref="Z323:Z370" si="34">W323+X323+Y323</f>
        <v>498.6</v>
      </c>
      <c r="AA323" s="3">
        <v>161.2</v>
      </c>
      <c r="AB323" s="3">
        <v>164.5</v>
      </c>
      <c r="AC323" s="3">
        <v>175.3</v>
      </c>
      <c r="AD323" s="68">
        <f t="shared" ref="AD323:AD370" si="35">SUM(AB323:AC323)</f>
        <v>339.8</v>
      </c>
      <c r="AE323" s="3">
        <v>170.3</v>
      </c>
      <c r="AF323" s="3">
        <v>165.5</v>
      </c>
      <c r="AG323" s="3">
        <v>167.3</v>
      </c>
      <c r="AH323" s="3">
        <v>166.7</v>
      </c>
      <c r="AI323" s="3">
        <f t="shared" ref="AI323:AI370" si="36">SUM(Q323,R323,V323,Z323,AA323,AD323,AE323,AF323,AG323,AH323)</f>
        <v>4530.1</v>
      </c>
    </row>
    <row r="324" spans="1:35">
      <c r="A324" s="3" t="s">
        <v>16</v>
      </c>
      <c r="B324" s="3">
        <v>2022</v>
      </c>
      <c r="C324" s="3" t="s">
        <v>20</v>
      </c>
      <c r="D324" s="3">
        <v>152.5</v>
      </c>
      <c r="E324" s="3">
        <v>205.2</v>
      </c>
      <c r="F324" s="3">
        <v>176.4</v>
      </c>
      <c r="G324" s="3">
        <v>160.6</v>
      </c>
      <c r="H324" s="3">
        <v>171.5</v>
      </c>
      <c r="I324" s="3">
        <v>156.4</v>
      </c>
      <c r="J324" s="3">
        <v>198</v>
      </c>
      <c r="K324" s="3">
        <v>163.2</v>
      </c>
      <c r="L324" s="3">
        <v>120.6</v>
      </c>
      <c r="M324" s="3">
        <v>172.2</v>
      </c>
      <c r="N324" s="3">
        <v>156.7</v>
      </c>
      <c r="O324" s="3">
        <v>180</v>
      </c>
      <c r="P324" s="3">
        <v>170.2</v>
      </c>
      <c r="Q324" s="68">
        <f t="shared" si="32"/>
        <v>2183.5</v>
      </c>
      <c r="R324" s="3">
        <v>196.5</v>
      </c>
      <c r="S324" s="3">
        <v>165.7</v>
      </c>
      <c r="T324" s="3">
        <v>150.4</v>
      </c>
      <c r="U324" s="3">
        <v>163.4</v>
      </c>
      <c r="V324" s="69">
        <f t="shared" si="33"/>
        <v>479.5</v>
      </c>
      <c r="W324" s="3">
        <v>165.5</v>
      </c>
      <c r="X324" s="3">
        <v>157.4</v>
      </c>
      <c r="Y324" s="3">
        <v>163</v>
      </c>
      <c r="Z324" s="3">
        <f t="shared" si="34"/>
        <v>485.9</v>
      </c>
      <c r="AA324" s="3">
        <v>153.1</v>
      </c>
      <c r="AB324" s="3">
        <v>164.2</v>
      </c>
      <c r="AC324" s="3">
        <v>167.2</v>
      </c>
      <c r="AD324" s="68">
        <f t="shared" si="35"/>
        <v>331.4</v>
      </c>
      <c r="AE324" s="3">
        <v>162</v>
      </c>
      <c r="AF324" s="3">
        <v>159.5</v>
      </c>
      <c r="AG324" s="3">
        <v>159.4</v>
      </c>
      <c r="AH324" s="3">
        <v>165.5</v>
      </c>
      <c r="AI324" s="3">
        <f t="shared" si="36"/>
        <v>4476.3</v>
      </c>
    </row>
    <row r="325" spans="1:35">
      <c r="A325" s="3" t="s">
        <v>17</v>
      </c>
      <c r="B325" s="3">
        <v>2022</v>
      </c>
      <c r="C325" s="3" t="s">
        <v>20</v>
      </c>
      <c r="D325" s="3">
        <v>150</v>
      </c>
      <c r="E325" s="3">
        <v>200.6</v>
      </c>
      <c r="F325" s="3">
        <v>175.8</v>
      </c>
      <c r="G325" s="3">
        <v>160.7</v>
      </c>
      <c r="H325" s="3">
        <v>184.9</v>
      </c>
      <c r="I325" s="3">
        <v>153.7</v>
      </c>
      <c r="J325" s="3">
        <v>169.7</v>
      </c>
      <c r="K325" s="3">
        <v>163.7</v>
      </c>
      <c r="L325" s="3">
        <v>118.9</v>
      </c>
      <c r="M325" s="3">
        <v>174.3</v>
      </c>
      <c r="N325" s="3">
        <v>164.7</v>
      </c>
      <c r="O325" s="3">
        <v>178</v>
      </c>
      <c r="P325" s="3">
        <v>166.2</v>
      </c>
      <c r="Q325" s="68">
        <f t="shared" si="32"/>
        <v>2161.2</v>
      </c>
      <c r="R325" s="3">
        <v>192.8</v>
      </c>
      <c r="S325" s="3">
        <v>170.8</v>
      </c>
      <c r="T325" s="3">
        <v>162.4</v>
      </c>
      <c r="U325" s="3">
        <v>169.6</v>
      </c>
      <c r="V325" s="69">
        <f t="shared" si="33"/>
        <v>502.8</v>
      </c>
      <c r="W325" s="3">
        <v>165.5</v>
      </c>
      <c r="X325" s="3">
        <v>161.8</v>
      </c>
      <c r="Y325" s="3">
        <v>165.7</v>
      </c>
      <c r="Z325" s="3">
        <f t="shared" si="34"/>
        <v>493</v>
      </c>
      <c r="AA325" s="3">
        <v>156.9</v>
      </c>
      <c r="AB325" s="3">
        <v>164.4</v>
      </c>
      <c r="AC325" s="3">
        <v>172.2</v>
      </c>
      <c r="AD325" s="68">
        <f t="shared" si="35"/>
        <v>336.6</v>
      </c>
      <c r="AE325" s="3">
        <v>165.4</v>
      </c>
      <c r="AF325" s="3">
        <v>162.1</v>
      </c>
      <c r="AG325" s="3">
        <v>163.5</v>
      </c>
      <c r="AH325" s="3">
        <v>166.1</v>
      </c>
      <c r="AI325" s="3">
        <f t="shared" si="36"/>
        <v>4500.4</v>
      </c>
    </row>
    <row r="326" spans="1:35">
      <c r="A326" s="3" t="s">
        <v>14</v>
      </c>
      <c r="B326" s="3">
        <v>2022</v>
      </c>
      <c r="C326" s="3" t="s">
        <v>26</v>
      </c>
      <c r="D326" s="3">
        <v>150.2</v>
      </c>
      <c r="E326" s="3">
        <v>208</v>
      </c>
      <c r="F326" s="3">
        <v>167.9</v>
      </c>
      <c r="G326" s="3">
        <v>162</v>
      </c>
      <c r="H326" s="3">
        <v>203.1</v>
      </c>
      <c r="I326" s="3">
        <v>155.9</v>
      </c>
      <c r="J326" s="3">
        <v>155.8</v>
      </c>
      <c r="K326" s="3">
        <v>164.2</v>
      </c>
      <c r="L326" s="3">
        <v>118.1</v>
      </c>
      <c r="M326" s="3">
        <v>178.7</v>
      </c>
      <c r="N326" s="3">
        <v>171.2</v>
      </c>
      <c r="O326" s="3">
        <v>177.4</v>
      </c>
      <c r="P326" s="3">
        <v>166.6</v>
      </c>
      <c r="Q326" s="68">
        <f t="shared" si="32"/>
        <v>2179.1</v>
      </c>
      <c r="R326" s="3">
        <v>192.3</v>
      </c>
      <c r="S326" s="3">
        <v>175.4</v>
      </c>
      <c r="T326" s="3">
        <v>173.2</v>
      </c>
      <c r="U326" s="3">
        <v>175.1</v>
      </c>
      <c r="V326" s="69">
        <f t="shared" si="33"/>
        <v>523.7</v>
      </c>
      <c r="W326" s="75">
        <v>165.3</v>
      </c>
      <c r="X326" s="3">
        <v>166.5</v>
      </c>
      <c r="Y326" s="3">
        <v>168.9</v>
      </c>
      <c r="Z326" s="3">
        <f t="shared" si="34"/>
        <v>500.7</v>
      </c>
      <c r="AA326" s="3">
        <v>162</v>
      </c>
      <c r="AB326" s="3">
        <v>167.4</v>
      </c>
      <c r="AC326" s="3">
        <v>176</v>
      </c>
      <c r="AD326" s="68">
        <f t="shared" si="35"/>
        <v>343.4</v>
      </c>
      <c r="AE326" s="3">
        <v>170.6</v>
      </c>
      <c r="AF326" s="3">
        <v>166.6</v>
      </c>
      <c r="AG326" s="3">
        <v>168.3</v>
      </c>
      <c r="AH326" s="3">
        <v>168.7</v>
      </c>
      <c r="AI326" s="3">
        <f t="shared" si="36"/>
        <v>4575.4</v>
      </c>
    </row>
    <row r="327" spans="1:35">
      <c r="A327" s="3" t="s">
        <v>16</v>
      </c>
      <c r="B327" s="3">
        <v>2022</v>
      </c>
      <c r="C327" s="3" t="s">
        <v>26</v>
      </c>
      <c r="D327" s="3">
        <v>153.7</v>
      </c>
      <c r="E327" s="3">
        <v>215.8</v>
      </c>
      <c r="F327" s="3">
        <v>167.7</v>
      </c>
      <c r="G327" s="3">
        <v>162.6</v>
      </c>
      <c r="H327" s="3">
        <v>180</v>
      </c>
      <c r="I327" s="3">
        <v>159.6</v>
      </c>
      <c r="J327" s="3">
        <v>188.4</v>
      </c>
      <c r="K327" s="3">
        <v>163.4</v>
      </c>
      <c r="L327" s="3">
        <v>120.3</v>
      </c>
      <c r="M327" s="3">
        <v>174.7</v>
      </c>
      <c r="N327" s="3">
        <v>157.1</v>
      </c>
      <c r="O327" s="3">
        <v>181.5</v>
      </c>
      <c r="P327" s="3">
        <v>171.5</v>
      </c>
      <c r="Q327" s="68">
        <f t="shared" si="32"/>
        <v>2196.3</v>
      </c>
      <c r="R327" s="3">
        <v>197.5</v>
      </c>
      <c r="S327" s="3">
        <v>167.1</v>
      </c>
      <c r="T327" s="3">
        <v>152.6</v>
      </c>
      <c r="U327" s="3">
        <v>164.9</v>
      </c>
      <c r="V327" s="69">
        <f t="shared" si="33"/>
        <v>484.6</v>
      </c>
      <c r="W327" s="3">
        <v>165.3</v>
      </c>
      <c r="X327" s="3">
        <v>158.6</v>
      </c>
      <c r="Y327" s="3">
        <v>164.5</v>
      </c>
      <c r="Z327" s="3">
        <f t="shared" si="34"/>
        <v>488.4</v>
      </c>
      <c r="AA327" s="3">
        <v>154.2</v>
      </c>
      <c r="AB327" s="3">
        <v>166.8</v>
      </c>
      <c r="AC327" s="3">
        <v>168.2</v>
      </c>
      <c r="AD327" s="68">
        <f t="shared" si="35"/>
        <v>335</v>
      </c>
      <c r="AE327" s="3">
        <v>162.7</v>
      </c>
      <c r="AF327" s="3">
        <v>160.8</v>
      </c>
      <c r="AG327" s="3">
        <v>160.6</v>
      </c>
      <c r="AH327" s="3">
        <v>166.5</v>
      </c>
      <c r="AI327" s="3">
        <f t="shared" si="36"/>
        <v>4506.6</v>
      </c>
    </row>
    <row r="328" spans="1:35">
      <c r="A328" s="3" t="s">
        <v>17</v>
      </c>
      <c r="B328" s="3">
        <v>2022</v>
      </c>
      <c r="C328" s="3" t="s">
        <v>26</v>
      </c>
      <c r="D328" s="3">
        <v>151.3</v>
      </c>
      <c r="E328" s="3">
        <v>210.7</v>
      </c>
      <c r="F328" s="3">
        <v>167.8</v>
      </c>
      <c r="G328" s="3">
        <v>162.2</v>
      </c>
      <c r="H328" s="3">
        <v>194.6</v>
      </c>
      <c r="I328" s="3">
        <v>157.6</v>
      </c>
      <c r="J328" s="3">
        <v>166.9</v>
      </c>
      <c r="K328" s="3">
        <v>163.9</v>
      </c>
      <c r="L328" s="3">
        <v>118.8</v>
      </c>
      <c r="M328" s="3">
        <v>177.4</v>
      </c>
      <c r="N328" s="3">
        <v>165.3</v>
      </c>
      <c r="O328" s="3">
        <v>179.3</v>
      </c>
      <c r="P328" s="3">
        <v>168.4</v>
      </c>
      <c r="Q328" s="68">
        <f t="shared" si="32"/>
        <v>2184.2</v>
      </c>
      <c r="R328" s="3">
        <v>193.7</v>
      </c>
      <c r="S328" s="3">
        <v>172.1</v>
      </c>
      <c r="T328" s="3">
        <v>164.6</v>
      </c>
      <c r="U328" s="3">
        <v>171.1</v>
      </c>
      <c r="V328" s="69">
        <f t="shared" si="33"/>
        <v>507.8</v>
      </c>
      <c r="W328" s="3">
        <v>165.3</v>
      </c>
      <c r="X328" s="3">
        <v>162.8</v>
      </c>
      <c r="Y328" s="3">
        <v>167.2</v>
      </c>
      <c r="Z328" s="3">
        <f t="shared" si="34"/>
        <v>495.3</v>
      </c>
      <c r="AA328" s="3">
        <v>157.9</v>
      </c>
      <c r="AB328" s="3">
        <v>167.2</v>
      </c>
      <c r="AC328" s="3">
        <v>173</v>
      </c>
      <c r="AD328" s="68">
        <f t="shared" si="35"/>
        <v>340.2</v>
      </c>
      <c r="AE328" s="3">
        <v>166</v>
      </c>
      <c r="AF328" s="3">
        <v>163.3</v>
      </c>
      <c r="AG328" s="3">
        <v>164.6</v>
      </c>
      <c r="AH328" s="3">
        <v>167.7</v>
      </c>
      <c r="AI328" s="3">
        <f t="shared" si="36"/>
        <v>4540.7</v>
      </c>
    </row>
    <row r="329" spans="1:35">
      <c r="A329" s="3" t="s">
        <v>14</v>
      </c>
      <c r="B329" s="3">
        <v>2022</v>
      </c>
      <c r="C329" s="3" t="s">
        <v>29</v>
      </c>
      <c r="D329" s="3">
        <v>151.8</v>
      </c>
      <c r="E329" s="3">
        <v>209.7</v>
      </c>
      <c r="F329" s="3">
        <v>164.5</v>
      </c>
      <c r="G329" s="3">
        <v>163.8</v>
      </c>
      <c r="H329" s="3">
        <v>207.4</v>
      </c>
      <c r="I329" s="3">
        <v>169.7</v>
      </c>
      <c r="J329" s="3">
        <v>153.6</v>
      </c>
      <c r="K329" s="3">
        <v>165.1</v>
      </c>
      <c r="L329" s="3">
        <v>118.2</v>
      </c>
      <c r="M329" s="3">
        <v>182.9</v>
      </c>
      <c r="N329" s="3">
        <v>172.4</v>
      </c>
      <c r="O329" s="3">
        <v>178.9</v>
      </c>
      <c r="P329" s="3">
        <v>168.6</v>
      </c>
      <c r="Q329" s="68">
        <f t="shared" si="32"/>
        <v>2206.6</v>
      </c>
      <c r="R329" s="3">
        <v>192.8</v>
      </c>
      <c r="S329" s="3">
        <v>177.5</v>
      </c>
      <c r="T329" s="3">
        <v>175.1</v>
      </c>
      <c r="U329" s="3">
        <v>177.1</v>
      </c>
      <c r="V329" s="69">
        <f t="shared" si="33"/>
        <v>529.7</v>
      </c>
      <c r="W329" s="75">
        <v>167</v>
      </c>
      <c r="X329" s="3">
        <v>167.7</v>
      </c>
      <c r="Y329" s="3">
        <v>173.3</v>
      </c>
      <c r="Z329" s="3">
        <f t="shared" si="34"/>
        <v>508</v>
      </c>
      <c r="AA329" s="3">
        <v>166.2</v>
      </c>
      <c r="AB329" s="3">
        <v>169</v>
      </c>
      <c r="AC329" s="3">
        <v>177</v>
      </c>
      <c r="AD329" s="68">
        <f t="shared" si="35"/>
        <v>346</v>
      </c>
      <c r="AE329" s="3">
        <v>170.9</v>
      </c>
      <c r="AF329" s="3">
        <v>167.2</v>
      </c>
      <c r="AG329" s="3">
        <v>170.2</v>
      </c>
      <c r="AH329" s="3">
        <v>170.8</v>
      </c>
      <c r="AI329" s="3">
        <f t="shared" si="36"/>
        <v>4628.4</v>
      </c>
    </row>
    <row r="330" spans="1:35">
      <c r="A330" s="3" t="s">
        <v>16</v>
      </c>
      <c r="B330" s="3">
        <v>2022</v>
      </c>
      <c r="C330" s="3" t="s">
        <v>29</v>
      </c>
      <c r="D330" s="3">
        <v>155.4</v>
      </c>
      <c r="E330" s="3">
        <v>215.8</v>
      </c>
      <c r="F330" s="3">
        <v>164.6</v>
      </c>
      <c r="G330" s="3">
        <v>164.2</v>
      </c>
      <c r="H330" s="3">
        <v>186</v>
      </c>
      <c r="I330" s="3">
        <v>175.9</v>
      </c>
      <c r="J330" s="3">
        <v>190.7</v>
      </c>
      <c r="K330" s="3">
        <v>164</v>
      </c>
      <c r="L330" s="3">
        <v>120.5</v>
      </c>
      <c r="M330" s="3">
        <v>178</v>
      </c>
      <c r="N330" s="3">
        <v>157.5</v>
      </c>
      <c r="O330" s="3">
        <v>183.3</v>
      </c>
      <c r="P330" s="3">
        <v>174.5</v>
      </c>
      <c r="Q330" s="68">
        <f t="shared" si="32"/>
        <v>2230.4</v>
      </c>
      <c r="R330" s="3">
        <v>197.1</v>
      </c>
      <c r="S330" s="3">
        <v>168.4</v>
      </c>
      <c r="T330" s="3">
        <v>154.5</v>
      </c>
      <c r="U330" s="3">
        <v>166.3</v>
      </c>
      <c r="V330" s="69">
        <f t="shared" si="33"/>
        <v>489.2</v>
      </c>
      <c r="W330" s="3">
        <v>167</v>
      </c>
      <c r="X330" s="3">
        <v>159.8</v>
      </c>
      <c r="Y330" s="3">
        <v>170.5</v>
      </c>
      <c r="Z330" s="3">
        <f t="shared" si="34"/>
        <v>497.3</v>
      </c>
      <c r="AA330" s="3">
        <v>159.3</v>
      </c>
      <c r="AB330" s="3">
        <v>168.4</v>
      </c>
      <c r="AC330" s="3">
        <v>169</v>
      </c>
      <c r="AD330" s="68">
        <f t="shared" si="35"/>
        <v>337.4</v>
      </c>
      <c r="AE330" s="3">
        <v>164</v>
      </c>
      <c r="AF330" s="3">
        <v>162.2</v>
      </c>
      <c r="AG330" s="3">
        <v>163.1</v>
      </c>
      <c r="AH330" s="3">
        <v>169.2</v>
      </c>
      <c r="AI330" s="3">
        <f t="shared" si="36"/>
        <v>4569.2</v>
      </c>
    </row>
    <row r="331" spans="1:35">
      <c r="A331" s="3" t="s">
        <v>17</v>
      </c>
      <c r="B331" s="3">
        <v>2022</v>
      </c>
      <c r="C331" s="3" t="s">
        <v>29</v>
      </c>
      <c r="D331" s="3">
        <v>152.9</v>
      </c>
      <c r="E331" s="3">
        <v>211.8</v>
      </c>
      <c r="F331" s="3">
        <v>164.5</v>
      </c>
      <c r="G331" s="3">
        <v>163.9</v>
      </c>
      <c r="H331" s="3">
        <v>199.5</v>
      </c>
      <c r="I331" s="3">
        <v>172.6</v>
      </c>
      <c r="J331" s="3">
        <v>166.2</v>
      </c>
      <c r="K331" s="3">
        <v>164.7</v>
      </c>
      <c r="L331" s="3">
        <v>119</v>
      </c>
      <c r="M331" s="3">
        <v>181.3</v>
      </c>
      <c r="N331" s="3">
        <v>166.2</v>
      </c>
      <c r="O331" s="3">
        <v>180.9</v>
      </c>
      <c r="P331" s="3">
        <v>170.8</v>
      </c>
      <c r="Q331" s="68">
        <f t="shared" si="32"/>
        <v>2214.3</v>
      </c>
      <c r="R331" s="3">
        <v>193.9</v>
      </c>
      <c r="S331" s="3">
        <v>173.9</v>
      </c>
      <c r="T331" s="3">
        <v>166.5</v>
      </c>
      <c r="U331" s="3">
        <v>172.8</v>
      </c>
      <c r="V331" s="69">
        <f t="shared" si="33"/>
        <v>513.2</v>
      </c>
      <c r="W331" s="3">
        <v>167</v>
      </c>
      <c r="X331" s="3">
        <v>164</v>
      </c>
      <c r="Y331" s="3">
        <v>172.2</v>
      </c>
      <c r="Z331" s="3">
        <f t="shared" si="34"/>
        <v>503.2</v>
      </c>
      <c r="AA331" s="3">
        <v>162.6</v>
      </c>
      <c r="AB331" s="3">
        <v>168.8</v>
      </c>
      <c r="AC331" s="3">
        <v>174</v>
      </c>
      <c r="AD331" s="68">
        <f t="shared" si="35"/>
        <v>342.8</v>
      </c>
      <c r="AE331" s="3">
        <v>166.9</v>
      </c>
      <c r="AF331" s="3">
        <v>164.4</v>
      </c>
      <c r="AG331" s="3">
        <v>166.8</v>
      </c>
      <c r="AH331" s="3">
        <v>170.1</v>
      </c>
      <c r="AI331" s="3">
        <f t="shared" si="36"/>
        <v>4598.2</v>
      </c>
    </row>
    <row r="332" spans="1:35">
      <c r="A332" s="3" t="s">
        <v>14</v>
      </c>
      <c r="B332" s="3">
        <v>2022</v>
      </c>
      <c r="C332" s="3" t="s">
        <v>15</v>
      </c>
      <c r="D332" s="3">
        <v>152.9</v>
      </c>
      <c r="E332" s="3">
        <v>214.7</v>
      </c>
      <c r="F332" s="3">
        <v>161.4</v>
      </c>
      <c r="G332" s="3">
        <v>164.6</v>
      </c>
      <c r="H332" s="3">
        <v>209.9</v>
      </c>
      <c r="I332" s="3">
        <v>168</v>
      </c>
      <c r="J332" s="3">
        <v>160.4</v>
      </c>
      <c r="K332" s="3">
        <v>165</v>
      </c>
      <c r="L332" s="3">
        <v>118.9</v>
      </c>
      <c r="M332" s="3">
        <v>186.6</v>
      </c>
      <c r="N332" s="3">
        <v>173.2</v>
      </c>
      <c r="O332" s="3">
        <v>180.4</v>
      </c>
      <c r="P332" s="3">
        <v>170.8</v>
      </c>
      <c r="Q332" s="68">
        <f t="shared" si="32"/>
        <v>2226.8</v>
      </c>
      <c r="R332" s="3">
        <v>192.9</v>
      </c>
      <c r="S332" s="3">
        <v>179.3</v>
      </c>
      <c r="T332" s="3">
        <v>177.2</v>
      </c>
      <c r="U332" s="3">
        <v>179</v>
      </c>
      <c r="V332" s="69">
        <f t="shared" si="33"/>
        <v>535.5</v>
      </c>
      <c r="W332" s="75">
        <v>167.5</v>
      </c>
      <c r="X332" s="3">
        <v>168.9</v>
      </c>
      <c r="Y332" s="3">
        <v>175.3</v>
      </c>
      <c r="Z332" s="3">
        <f t="shared" si="34"/>
        <v>511.7</v>
      </c>
      <c r="AA332" s="3">
        <v>167.1</v>
      </c>
      <c r="AB332" s="3">
        <v>168.5</v>
      </c>
      <c r="AC332" s="3">
        <v>177.7</v>
      </c>
      <c r="AD332" s="68">
        <f t="shared" si="35"/>
        <v>346.2</v>
      </c>
      <c r="AE332" s="3">
        <v>171.8</v>
      </c>
      <c r="AF332" s="3">
        <v>167.6</v>
      </c>
      <c r="AG332" s="3">
        <v>170.9</v>
      </c>
      <c r="AH332" s="3">
        <v>172.5</v>
      </c>
      <c r="AI332" s="3">
        <f t="shared" si="36"/>
        <v>4663</v>
      </c>
    </row>
    <row r="333" spans="1:35">
      <c r="A333" s="3" t="s">
        <v>16</v>
      </c>
      <c r="B333" s="3">
        <v>2022</v>
      </c>
      <c r="C333" s="3" t="s">
        <v>15</v>
      </c>
      <c r="D333" s="3">
        <v>156.7</v>
      </c>
      <c r="E333" s="3">
        <v>221.2</v>
      </c>
      <c r="F333" s="3">
        <v>164.1</v>
      </c>
      <c r="G333" s="3">
        <v>165.4</v>
      </c>
      <c r="H333" s="3">
        <v>189.5</v>
      </c>
      <c r="I333" s="3">
        <v>174.5</v>
      </c>
      <c r="J333" s="3">
        <v>203.2</v>
      </c>
      <c r="K333" s="3">
        <v>164.1</v>
      </c>
      <c r="L333" s="3">
        <v>121.2</v>
      </c>
      <c r="M333" s="3">
        <v>181.4</v>
      </c>
      <c r="N333" s="3">
        <v>158.5</v>
      </c>
      <c r="O333" s="3">
        <v>184.9</v>
      </c>
      <c r="P333" s="3">
        <v>177.5</v>
      </c>
      <c r="Q333" s="68">
        <f t="shared" si="32"/>
        <v>2262.2</v>
      </c>
      <c r="R333" s="3">
        <v>197.5</v>
      </c>
      <c r="S333" s="3">
        <v>170</v>
      </c>
      <c r="T333" s="3">
        <v>155.9</v>
      </c>
      <c r="U333" s="3">
        <v>167.8</v>
      </c>
      <c r="V333" s="69">
        <f t="shared" si="33"/>
        <v>493.7</v>
      </c>
      <c r="W333" s="3">
        <v>167.5</v>
      </c>
      <c r="X333" s="3">
        <v>161.1</v>
      </c>
      <c r="Y333" s="3">
        <v>173.5</v>
      </c>
      <c r="Z333" s="3">
        <f t="shared" si="34"/>
        <v>502.1</v>
      </c>
      <c r="AA333" s="3">
        <v>159.4</v>
      </c>
      <c r="AB333" s="3">
        <v>168.2</v>
      </c>
      <c r="AC333" s="3">
        <v>170.1</v>
      </c>
      <c r="AD333" s="68">
        <f t="shared" si="35"/>
        <v>338.3</v>
      </c>
      <c r="AE333" s="3">
        <v>165.2</v>
      </c>
      <c r="AF333" s="3">
        <v>163.2</v>
      </c>
      <c r="AG333" s="3">
        <v>163.8</v>
      </c>
      <c r="AH333" s="3">
        <v>170.8</v>
      </c>
      <c r="AI333" s="3">
        <f t="shared" si="36"/>
        <v>4616.2</v>
      </c>
    </row>
    <row r="334" spans="1:35">
      <c r="A334" s="3" t="s">
        <v>17</v>
      </c>
      <c r="B334" s="3">
        <v>2022</v>
      </c>
      <c r="C334" s="3" t="s">
        <v>15</v>
      </c>
      <c r="D334" s="3">
        <v>154.1</v>
      </c>
      <c r="E334" s="3">
        <v>217</v>
      </c>
      <c r="F334" s="3">
        <v>162.4</v>
      </c>
      <c r="G334" s="3">
        <v>164.9</v>
      </c>
      <c r="H334" s="3">
        <v>202.4</v>
      </c>
      <c r="I334" s="3">
        <v>171</v>
      </c>
      <c r="J334" s="3">
        <v>174.9</v>
      </c>
      <c r="K334" s="3">
        <v>164.7</v>
      </c>
      <c r="L334" s="3">
        <v>119.7</v>
      </c>
      <c r="M334" s="3">
        <v>184.9</v>
      </c>
      <c r="N334" s="3">
        <v>167.1</v>
      </c>
      <c r="O334" s="3">
        <v>182.5</v>
      </c>
      <c r="P334" s="3">
        <v>173.3</v>
      </c>
      <c r="Q334" s="68">
        <f t="shared" si="32"/>
        <v>2238.9</v>
      </c>
      <c r="R334" s="3">
        <v>194.1</v>
      </c>
      <c r="S334" s="3">
        <v>175.6</v>
      </c>
      <c r="T334" s="3">
        <v>168.4</v>
      </c>
      <c r="U334" s="3">
        <v>174.6</v>
      </c>
      <c r="V334" s="69">
        <f t="shared" si="33"/>
        <v>518.6</v>
      </c>
      <c r="W334" s="3">
        <v>167.5</v>
      </c>
      <c r="X334" s="3">
        <v>165.2</v>
      </c>
      <c r="Y334" s="3">
        <v>174.6</v>
      </c>
      <c r="Z334" s="3">
        <f t="shared" si="34"/>
        <v>507.3</v>
      </c>
      <c r="AA334" s="3">
        <v>163</v>
      </c>
      <c r="AB334" s="3">
        <v>168.4</v>
      </c>
      <c r="AC334" s="3">
        <v>174.8</v>
      </c>
      <c r="AD334" s="68">
        <f t="shared" si="35"/>
        <v>343.2</v>
      </c>
      <c r="AE334" s="3">
        <v>167.9</v>
      </c>
      <c r="AF334" s="3">
        <v>165.1</v>
      </c>
      <c r="AG334" s="3">
        <v>167.5</v>
      </c>
      <c r="AH334" s="3">
        <v>171.7</v>
      </c>
      <c r="AI334" s="3">
        <f t="shared" si="36"/>
        <v>4637.3</v>
      </c>
    </row>
    <row r="335" spans="1:35">
      <c r="A335" s="3" t="s">
        <v>14</v>
      </c>
      <c r="B335" s="3">
        <v>2022</v>
      </c>
      <c r="C335" s="3" t="s">
        <v>30</v>
      </c>
      <c r="D335" s="3">
        <v>153.8</v>
      </c>
      <c r="E335" s="3">
        <v>217.2</v>
      </c>
      <c r="F335" s="3">
        <v>169.6</v>
      </c>
      <c r="G335" s="3">
        <v>165.4</v>
      </c>
      <c r="H335" s="3">
        <v>208.1</v>
      </c>
      <c r="I335" s="3">
        <v>165.8</v>
      </c>
      <c r="J335" s="3">
        <v>167.3</v>
      </c>
      <c r="K335" s="3">
        <v>164.6</v>
      </c>
      <c r="L335" s="3">
        <v>119.1</v>
      </c>
      <c r="M335" s="3">
        <v>188.9</v>
      </c>
      <c r="N335" s="3">
        <v>174.2</v>
      </c>
      <c r="O335" s="3">
        <v>181.9</v>
      </c>
      <c r="P335" s="3">
        <v>172.4</v>
      </c>
      <c r="Q335" s="68">
        <f t="shared" si="32"/>
        <v>2248.3</v>
      </c>
      <c r="R335" s="3">
        <v>192.9</v>
      </c>
      <c r="S335" s="3">
        <v>180.7</v>
      </c>
      <c r="T335" s="3">
        <v>178.7</v>
      </c>
      <c r="U335" s="3">
        <v>180.4</v>
      </c>
      <c r="V335" s="69">
        <f t="shared" si="33"/>
        <v>539.8</v>
      </c>
      <c r="W335" s="75">
        <v>166.8</v>
      </c>
      <c r="X335" s="3">
        <v>170.3</v>
      </c>
      <c r="Y335" s="3">
        <v>176.7</v>
      </c>
      <c r="Z335" s="3">
        <f t="shared" si="34"/>
        <v>513.8</v>
      </c>
      <c r="AA335" s="3">
        <v>165.5</v>
      </c>
      <c r="AB335" s="3">
        <v>169.5</v>
      </c>
      <c r="AC335" s="3">
        <v>178.2</v>
      </c>
      <c r="AD335" s="68">
        <f t="shared" si="35"/>
        <v>347.7</v>
      </c>
      <c r="AE335" s="3">
        <v>172.6</v>
      </c>
      <c r="AF335" s="3">
        <v>168</v>
      </c>
      <c r="AG335" s="3">
        <v>171</v>
      </c>
      <c r="AH335" s="3">
        <v>173.6</v>
      </c>
      <c r="AI335" s="3">
        <f t="shared" si="36"/>
        <v>4693.2</v>
      </c>
    </row>
    <row r="336" spans="1:35">
      <c r="A336" s="3" t="s">
        <v>16</v>
      </c>
      <c r="B336" s="3">
        <v>2022</v>
      </c>
      <c r="C336" s="3" t="s">
        <v>30</v>
      </c>
      <c r="D336" s="3">
        <v>157.5</v>
      </c>
      <c r="E336" s="3">
        <v>223.4</v>
      </c>
      <c r="F336" s="3">
        <v>172.8</v>
      </c>
      <c r="G336" s="3">
        <v>166.4</v>
      </c>
      <c r="H336" s="3">
        <v>188.6</v>
      </c>
      <c r="I336" s="3">
        <v>174.1</v>
      </c>
      <c r="J336" s="3">
        <v>211.5</v>
      </c>
      <c r="K336" s="3">
        <v>163.6</v>
      </c>
      <c r="L336" s="3">
        <v>121.4</v>
      </c>
      <c r="M336" s="3">
        <v>183.5</v>
      </c>
      <c r="N336" s="3">
        <v>159.1</v>
      </c>
      <c r="O336" s="3">
        <v>186.3</v>
      </c>
      <c r="P336" s="3">
        <v>179.3</v>
      </c>
      <c r="Q336" s="68">
        <f t="shared" si="32"/>
        <v>2287.5</v>
      </c>
      <c r="R336" s="3">
        <v>198.3</v>
      </c>
      <c r="S336" s="3">
        <v>171.6</v>
      </c>
      <c r="T336" s="3">
        <v>157.4</v>
      </c>
      <c r="U336" s="3">
        <v>169.4</v>
      </c>
      <c r="V336" s="69">
        <f t="shared" si="33"/>
        <v>498.4</v>
      </c>
      <c r="W336" s="3">
        <v>166.8</v>
      </c>
      <c r="X336" s="3">
        <v>162.1</v>
      </c>
      <c r="Y336" s="3">
        <v>174.9</v>
      </c>
      <c r="Z336" s="3">
        <f t="shared" si="34"/>
        <v>503.8</v>
      </c>
      <c r="AA336" s="3">
        <v>157.2</v>
      </c>
      <c r="AB336" s="3">
        <v>169.2</v>
      </c>
      <c r="AC336" s="3">
        <v>170.9</v>
      </c>
      <c r="AD336" s="68">
        <f t="shared" si="35"/>
        <v>340.1</v>
      </c>
      <c r="AE336" s="3">
        <v>166.5</v>
      </c>
      <c r="AF336" s="3">
        <v>164.1</v>
      </c>
      <c r="AG336" s="3">
        <v>163.8</v>
      </c>
      <c r="AH336" s="3">
        <v>171.4</v>
      </c>
      <c r="AI336" s="3">
        <f t="shared" si="36"/>
        <v>4651.1</v>
      </c>
    </row>
    <row r="337" spans="1:35">
      <c r="A337" s="3" t="s">
        <v>17</v>
      </c>
      <c r="B337" s="3">
        <v>2022</v>
      </c>
      <c r="C337" s="3" t="s">
        <v>30</v>
      </c>
      <c r="D337" s="3">
        <v>155</v>
      </c>
      <c r="E337" s="3">
        <v>219.4</v>
      </c>
      <c r="F337" s="3">
        <v>170.8</v>
      </c>
      <c r="G337" s="3">
        <v>165.8</v>
      </c>
      <c r="H337" s="3">
        <v>200.9</v>
      </c>
      <c r="I337" s="3">
        <v>169.7</v>
      </c>
      <c r="J337" s="3">
        <v>182.3</v>
      </c>
      <c r="K337" s="3">
        <v>164.3</v>
      </c>
      <c r="L337" s="3">
        <v>119.9</v>
      </c>
      <c r="M337" s="3">
        <v>187.1</v>
      </c>
      <c r="N337" s="3">
        <v>167.9</v>
      </c>
      <c r="O337" s="3">
        <v>183.9</v>
      </c>
      <c r="P337" s="3">
        <v>174.9</v>
      </c>
      <c r="Q337" s="68">
        <f t="shared" si="32"/>
        <v>2261.9</v>
      </c>
      <c r="R337" s="3">
        <v>194.3</v>
      </c>
      <c r="S337" s="3">
        <v>177.1</v>
      </c>
      <c r="T337" s="3">
        <v>169.9</v>
      </c>
      <c r="U337" s="3">
        <v>176</v>
      </c>
      <c r="V337" s="69">
        <f t="shared" si="33"/>
        <v>523</v>
      </c>
      <c r="W337" s="3">
        <v>166.8</v>
      </c>
      <c r="X337" s="3">
        <v>166.4</v>
      </c>
      <c r="Y337" s="3">
        <v>176</v>
      </c>
      <c r="Z337" s="3">
        <f t="shared" si="34"/>
        <v>509.2</v>
      </c>
      <c r="AA337" s="3">
        <v>161.1</v>
      </c>
      <c r="AB337" s="3">
        <v>169.4</v>
      </c>
      <c r="AC337" s="3">
        <v>175.4</v>
      </c>
      <c r="AD337" s="68">
        <f t="shared" si="35"/>
        <v>344.8</v>
      </c>
      <c r="AE337" s="3">
        <v>169</v>
      </c>
      <c r="AF337" s="3">
        <v>165.8</v>
      </c>
      <c r="AG337" s="3">
        <v>167.5</v>
      </c>
      <c r="AH337" s="3">
        <v>172.6</v>
      </c>
      <c r="AI337" s="3">
        <f t="shared" si="36"/>
        <v>4669.2</v>
      </c>
    </row>
    <row r="338" spans="1:35">
      <c r="A338" s="3" t="s">
        <v>14</v>
      </c>
      <c r="B338" s="3">
        <v>2022</v>
      </c>
      <c r="C338" s="3" t="s">
        <v>31</v>
      </c>
      <c r="D338" s="3">
        <v>155.2</v>
      </c>
      <c r="E338" s="3">
        <v>210.8</v>
      </c>
      <c r="F338" s="3">
        <v>174.3</v>
      </c>
      <c r="G338" s="3">
        <v>166.3</v>
      </c>
      <c r="H338" s="3">
        <v>202.2</v>
      </c>
      <c r="I338" s="3">
        <v>169.6</v>
      </c>
      <c r="J338" s="3">
        <v>168.6</v>
      </c>
      <c r="K338" s="3">
        <v>164.4</v>
      </c>
      <c r="L338" s="3">
        <v>119.2</v>
      </c>
      <c r="M338" s="3">
        <v>191.8</v>
      </c>
      <c r="N338" s="3">
        <v>174.5</v>
      </c>
      <c r="O338" s="3">
        <v>183.1</v>
      </c>
      <c r="P338" s="3">
        <v>172.5</v>
      </c>
      <c r="Q338" s="68">
        <f t="shared" si="32"/>
        <v>2252.5</v>
      </c>
      <c r="R338" s="3">
        <v>193.2</v>
      </c>
      <c r="S338" s="3">
        <v>182</v>
      </c>
      <c r="T338" s="3">
        <v>180.3</v>
      </c>
      <c r="U338" s="3">
        <v>181.7</v>
      </c>
      <c r="V338" s="69">
        <f t="shared" si="33"/>
        <v>544</v>
      </c>
      <c r="W338" s="75">
        <v>167.8</v>
      </c>
      <c r="X338" s="3">
        <v>171.3</v>
      </c>
      <c r="Y338" s="3">
        <v>179.6</v>
      </c>
      <c r="Z338" s="3">
        <f t="shared" si="34"/>
        <v>518.7</v>
      </c>
      <c r="AA338" s="3">
        <v>166.3</v>
      </c>
      <c r="AB338" s="3">
        <v>169.7</v>
      </c>
      <c r="AC338" s="3">
        <v>178.8</v>
      </c>
      <c r="AD338" s="68">
        <f t="shared" si="35"/>
        <v>348.5</v>
      </c>
      <c r="AE338" s="3">
        <v>174.7</v>
      </c>
      <c r="AF338" s="3">
        <v>168.6</v>
      </c>
      <c r="AG338" s="3">
        <v>171.8</v>
      </c>
      <c r="AH338" s="3">
        <v>174.3</v>
      </c>
      <c r="AI338" s="3">
        <f t="shared" si="36"/>
        <v>4712.6</v>
      </c>
    </row>
    <row r="339" spans="1:35">
      <c r="A339" s="3" t="s">
        <v>16</v>
      </c>
      <c r="B339" s="3">
        <v>2022</v>
      </c>
      <c r="C339" s="3" t="s">
        <v>31</v>
      </c>
      <c r="D339" s="3">
        <v>159.3</v>
      </c>
      <c r="E339" s="3">
        <v>217.1</v>
      </c>
      <c r="F339" s="3">
        <v>176.6</v>
      </c>
      <c r="G339" s="3">
        <v>167.1</v>
      </c>
      <c r="H339" s="3">
        <v>184.8</v>
      </c>
      <c r="I339" s="3">
        <v>179.5</v>
      </c>
      <c r="J339" s="3">
        <v>208.5</v>
      </c>
      <c r="K339" s="3">
        <v>164</v>
      </c>
      <c r="L339" s="3">
        <v>121.5</v>
      </c>
      <c r="M339" s="3">
        <v>186.3</v>
      </c>
      <c r="N339" s="3">
        <v>159.8</v>
      </c>
      <c r="O339" s="3">
        <v>187.7</v>
      </c>
      <c r="P339" s="3">
        <v>179.4</v>
      </c>
      <c r="Q339" s="68">
        <f t="shared" si="32"/>
        <v>2291.6</v>
      </c>
      <c r="R339" s="3">
        <v>198.6</v>
      </c>
      <c r="S339" s="3">
        <v>172.7</v>
      </c>
      <c r="T339" s="3">
        <v>158.7</v>
      </c>
      <c r="U339" s="3">
        <v>170.6</v>
      </c>
      <c r="V339" s="69">
        <f t="shared" si="33"/>
        <v>502</v>
      </c>
      <c r="W339" s="3">
        <v>167.8</v>
      </c>
      <c r="X339" s="3">
        <v>163.1</v>
      </c>
      <c r="Y339" s="3">
        <v>179.5</v>
      </c>
      <c r="Z339" s="3">
        <f t="shared" si="34"/>
        <v>510.4</v>
      </c>
      <c r="AA339" s="3">
        <v>157.4</v>
      </c>
      <c r="AB339" s="3">
        <v>169.8</v>
      </c>
      <c r="AC339" s="3">
        <v>171.7</v>
      </c>
      <c r="AD339" s="68">
        <f t="shared" si="35"/>
        <v>341.5</v>
      </c>
      <c r="AE339" s="3">
        <v>169.1</v>
      </c>
      <c r="AF339" s="3">
        <v>164.6</v>
      </c>
      <c r="AG339" s="3">
        <v>164.7</v>
      </c>
      <c r="AH339" s="3">
        <v>172.3</v>
      </c>
      <c r="AI339" s="3">
        <f t="shared" si="36"/>
        <v>4672.2</v>
      </c>
    </row>
    <row r="340" spans="1:35">
      <c r="A340" s="3" t="s">
        <v>17</v>
      </c>
      <c r="B340" s="3">
        <v>2022</v>
      </c>
      <c r="C340" s="3" t="s">
        <v>31</v>
      </c>
      <c r="D340" s="3">
        <v>156.5</v>
      </c>
      <c r="E340" s="3">
        <v>213</v>
      </c>
      <c r="F340" s="3">
        <v>175.2</v>
      </c>
      <c r="G340" s="3">
        <v>166.6</v>
      </c>
      <c r="H340" s="3">
        <v>195.8</v>
      </c>
      <c r="I340" s="3">
        <v>174.2</v>
      </c>
      <c r="J340" s="3">
        <v>182.1</v>
      </c>
      <c r="K340" s="3">
        <v>164.3</v>
      </c>
      <c r="L340" s="3">
        <v>120</v>
      </c>
      <c r="M340" s="3">
        <v>190</v>
      </c>
      <c r="N340" s="3">
        <v>168.4</v>
      </c>
      <c r="O340" s="3">
        <v>185.2</v>
      </c>
      <c r="P340" s="3">
        <v>175</v>
      </c>
      <c r="Q340" s="68">
        <f t="shared" si="32"/>
        <v>2266.3</v>
      </c>
      <c r="R340" s="3">
        <v>194.6</v>
      </c>
      <c r="S340" s="3">
        <v>178.3</v>
      </c>
      <c r="T340" s="3">
        <v>171.3</v>
      </c>
      <c r="U340" s="3">
        <v>177.3</v>
      </c>
      <c r="V340" s="69">
        <f t="shared" si="33"/>
        <v>526.9</v>
      </c>
      <c r="W340" s="3">
        <v>167.8</v>
      </c>
      <c r="X340" s="3">
        <v>167.4</v>
      </c>
      <c r="Y340" s="3">
        <v>179.6</v>
      </c>
      <c r="Z340" s="3">
        <f t="shared" si="34"/>
        <v>514.8</v>
      </c>
      <c r="AA340" s="3">
        <v>161.6</v>
      </c>
      <c r="AB340" s="3">
        <v>169.7</v>
      </c>
      <c r="AC340" s="3">
        <v>176.1</v>
      </c>
      <c r="AD340" s="68">
        <f t="shared" si="35"/>
        <v>345.8</v>
      </c>
      <c r="AE340" s="3">
        <v>171.4</v>
      </c>
      <c r="AF340" s="3">
        <v>166.3</v>
      </c>
      <c r="AG340" s="3">
        <v>168.4</v>
      </c>
      <c r="AH340" s="3">
        <v>173.4</v>
      </c>
      <c r="AI340" s="3">
        <f t="shared" si="36"/>
        <v>4689.5</v>
      </c>
    </row>
    <row r="341" spans="1:35">
      <c r="A341" s="3" t="s">
        <v>14</v>
      </c>
      <c r="B341" s="3">
        <v>2022</v>
      </c>
      <c r="C341" s="3" t="s">
        <v>32</v>
      </c>
      <c r="D341" s="3">
        <v>159.5</v>
      </c>
      <c r="E341" s="3">
        <v>204.1</v>
      </c>
      <c r="F341" s="3">
        <v>168.3</v>
      </c>
      <c r="G341" s="3">
        <v>167.9</v>
      </c>
      <c r="H341" s="3">
        <v>198.1</v>
      </c>
      <c r="I341" s="3">
        <v>169.2</v>
      </c>
      <c r="J341" s="3">
        <v>173.1</v>
      </c>
      <c r="K341" s="3">
        <v>167.1</v>
      </c>
      <c r="L341" s="3">
        <v>120.2</v>
      </c>
      <c r="M341" s="3">
        <v>195.6</v>
      </c>
      <c r="N341" s="3">
        <v>174.8</v>
      </c>
      <c r="O341" s="3">
        <v>184</v>
      </c>
      <c r="P341" s="3">
        <v>173.9</v>
      </c>
      <c r="Q341" s="68">
        <f t="shared" si="32"/>
        <v>2255.8</v>
      </c>
      <c r="R341" s="3">
        <v>193.7</v>
      </c>
      <c r="S341" s="3">
        <v>183.2</v>
      </c>
      <c r="T341" s="3">
        <v>181.7</v>
      </c>
      <c r="U341" s="3">
        <v>183</v>
      </c>
      <c r="V341" s="69">
        <f t="shared" si="33"/>
        <v>547.9</v>
      </c>
      <c r="W341" s="75">
        <v>169</v>
      </c>
      <c r="X341" s="3">
        <v>172.3</v>
      </c>
      <c r="Y341" s="3">
        <v>179.1</v>
      </c>
      <c r="Z341" s="3">
        <f t="shared" si="34"/>
        <v>520.4</v>
      </c>
      <c r="AA341" s="3">
        <v>166.6</v>
      </c>
      <c r="AB341" s="3">
        <v>171.1</v>
      </c>
      <c r="AC341" s="3">
        <v>179.4</v>
      </c>
      <c r="AD341" s="68">
        <f t="shared" si="35"/>
        <v>350.5</v>
      </c>
      <c r="AE341" s="3">
        <v>175.7</v>
      </c>
      <c r="AF341" s="3">
        <v>169.3</v>
      </c>
      <c r="AG341" s="3">
        <v>172.6</v>
      </c>
      <c r="AH341" s="3">
        <v>175.3</v>
      </c>
      <c r="AI341" s="3">
        <f t="shared" si="36"/>
        <v>4727.8</v>
      </c>
    </row>
    <row r="342" spans="1:35">
      <c r="A342" s="3" t="s">
        <v>16</v>
      </c>
      <c r="B342" s="3">
        <v>2022</v>
      </c>
      <c r="C342" s="3" t="s">
        <v>32</v>
      </c>
      <c r="D342" s="3">
        <v>162.1</v>
      </c>
      <c r="E342" s="3">
        <v>210.9</v>
      </c>
      <c r="F342" s="3">
        <v>170.6</v>
      </c>
      <c r="G342" s="3">
        <v>168.4</v>
      </c>
      <c r="H342" s="3">
        <v>182.5</v>
      </c>
      <c r="I342" s="3">
        <v>177.1</v>
      </c>
      <c r="J342" s="3">
        <v>213.1</v>
      </c>
      <c r="K342" s="3">
        <v>167.3</v>
      </c>
      <c r="L342" s="3">
        <v>122.2</v>
      </c>
      <c r="M342" s="3">
        <v>189.7</v>
      </c>
      <c r="N342" s="3">
        <v>160.5</v>
      </c>
      <c r="O342" s="3">
        <v>188.9</v>
      </c>
      <c r="P342" s="3">
        <v>180.4</v>
      </c>
      <c r="Q342" s="68">
        <f t="shared" si="32"/>
        <v>2293.7</v>
      </c>
      <c r="R342" s="3">
        <v>198.7</v>
      </c>
      <c r="S342" s="3">
        <v>173.7</v>
      </c>
      <c r="T342" s="3">
        <v>160</v>
      </c>
      <c r="U342" s="3">
        <v>171.6</v>
      </c>
      <c r="V342" s="69">
        <f t="shared" si="33"/>
        <v>505.3</v>
      </c>
      <c r="W342" s="3">
        <v>169</v>
      </c>
      <c r="X342" s="3">
        <v>164.2</v>
      </c>
      <c r="Y342" s="3">
        <v>178.4</v>
      </c>
      <c r="Z342" s="3">
        <f t="shared" si="34"/>
        <v>511.6</v>
      </c>
      <c r="AA342" s="3">
        <v>157.7</v>
      </c>
      <c r="AB342" s="3">
        <v>171.4</v>
      </c>
      <c r="AC342" s="3">
        <v>172.6</v>
      </c>
      <c r="AD342" s="68">
        <f t="shared" si="35"/>
        <v>344</v>
      </c>
      <c r="AE342" s="3">
        <v>169.9</v>
      </c>
      <c r="AF342" s="3">
        <v>165.1</v>
      </c>
      <c r="AG342" s="3">
        <v>165.4</v>
      </c>
      <c r="AH342" s="3">
        <v>173.1</v>
      </c>
      <c r="AI342" s="3">
        <f t="shared" si="36"/>
        <v>4684.5</v>
      </c>
    </row>
    <row r="343" spans="1:35">
      <c r="A343" s="3" t="s">
        <v>17</v>
      </c>
      <c r="B343" s="3">
        <v>2022</v>
      </c>
      <c r="C343" s="3" t="s">
        <v>32</v>
      </c>
      <c r="D343" s="3">
        <v>160.3</v>
      </c>
      <c r="E343" s="3">
        <v>206.5</v>
      </c>
      <c r="F343" s="3">
        <v>169.2</v>
      </c>
      <c r="G343" s="3">
        <v>168.1</v>
      </c>
      <c r="H343" s="3">
        <v>192.4</v>
      </c>
      <c r="I343" s="3">
        <v>172.9</v>
      </c>
      <c r="J343" s="3">
        <v>186.7</v>
      </c>
      <c r="K343" s="3">
        <v>167.2</v>
      </c>
      <c r="L343" s="3">
        <v>120.9</v>
      </c>
      <c r="M343" s="3">
        <v>193.6</v>
      </c>
      <c r="N343" s="3">
        <v>168.8</v>
      </c>
      <c r="O343" s="3">
        <v>186.3</v>
      </c>
      <c r="P343" s="3">
        <v>176.3</v>
      </c>
      <c r="Q343" s="68">
        <f t="shared" si="32"/>
        <v>2269.2</v>
      </c>
      <c r="R343" s="3">
        <v>195</v>
      </c>
      <c r="S343" s="3">
        <v>179.5</v>
      </c>
      <c r="T343" s="3">
        <v>172.7</v>
      </c>
      <c r="U343" s="3">
        <v>178.5</v>
      </c>
      <c r="V343" s="69">
        <f t="shared" si="33"/>
        <v>530.7</v>
      </c>
      <c r="W343" s="3">
        <v>169</v>
      </c>
      <c r="X343" s="3">
        <v>168.5</v>
      </c>
      <c r="Y343" s="3">
        <v>178.8</v>
      </c>
      <c r="Z343" s="3">
        <f t="shared" si="34"/>
        <v>516.3</v>
      </c>
      <c r="AA343" s="3">
        <v>161.9</v>
      </c>
      <c r="AB343" s="3">
        <v>171.2</v>
      </c>
      <c r="AC343" s="3">
        <v>176.8</v>
      </c>
      <c r="AD343" s="68">
        <f t="shared" si="35"/>
        <v>348</v>
      </c>
      <c r="AE343" s="3">
        <v>172.3</v>
      </c>
      <c r="AF343" s="3">
        <v>166.9</v>
      </c>
      <c r="AG343" s="3">
        <v>169.1</v>
      </c>
      <c r="AH343" s="3">
        <v>174.3</v>
      </c>
      <c r="AI343" s="3">
        <f t="shared" si="36"/>
        <v>4703.7</v>
      </c>
    </row>
    <row r="344" spans="1:35">
      <c r="A344" s="3" t="s">
        <v>14</v>
      </c>
      <c r="B344" s="3">
        <v>2022</v>
      </c>
      <c r="C344" s="3" t="s">
        <v>33</v>
      </c>
      <c r="D344" s="3">
        <v>162.9</v>
      </c>
      <c r="E344" s="3">
        <v>206.7</v>
      </c>
      <c r="F344" s="3">
        <v>169</v>
      </c>
      <c r="G344" s="3">
        <v>169.5</v>
      </c>
      <c r="H344" s="3">
        <v>194.1</v>
      </c>
      <c r="I344" s="3">
        <v>164.1</v>
      </c>
      <c r="J344" s="3">
        <v>176.9</v>
      </c>
      <c r="K344" s="3">
        <v>169</v>
      </c>
      <c r="L344" s="3">
        <v>120.8</v>
      </c>
      <c r="M344" s="3">
        <v>199.1</v>
      </c>
      <c r="N344" s="3">
        <v>175.4</v>
      </c>
      <c r="O344" s="3">
        <v>184.8</v>
      </c>
      <c r="P344" s="3">
        <v>175.5</v>
      </c>
      <c r="Q344" s="68">
        <f t="shared" si="32"/>
        <v>2267.8</v>
      </c>
      <c r="R344" s="3">
        <v>194.5</v>
      </c>
      <c r="S344" s="3">
        <v>184.7</v>
      </c>
      <c r="T344" s="3">
        <v>183.3</v>
      </c>
      <c r="U344" s="3">
        <v>184.5</v>
      </c>
      <c r="V344" s="69">
        <f t="shared" si="33"/>
        <v>552.5</v>
      </c>
      <c r="W344" s="75">
        <v>169.5</v>
      </c>
      <c r="X344" s="3">
        <v>173.6</v>
      </c>
      <c r="Y344" s="3">
        <v>179.7</v>
      </c>
      <c r="Z344" s="3">
        <f t="shared" si="34"/>
        <v>522.8</v>
      </c>
      <c r="AA344" s="3">
        <v>166.9</v>
      </c>
      <c r="AB344" s="3">
        <v>170.8</v>
      </c>
      <c r="AC344" s="3">
        <v>180.2</v>
      </c>
      <c r="AD344" s="68">
        <f t="shared" si="35"/>
        <v>351</v>
      </c>
      <c r="AE344" s="3">
        <v>176.2</v>
      </c>
      <c r="AF344" s="3">
        <v>170</v>
      </c>
      <c r="AG344" s="3">
        <v>173.1</v>
      </c>
      <c r="AH344" s="3">
        <v>176.4</v>
      </c>
      <c r="AI344" s="3">
        <f t="shared" si="36"/>
        <v>4751.2</v>
      </c>
    </row>
    <row r="345" spans="1:35">
      <c r="A345" s="3" t="s">
        <v>16</v>
      </c>
      <c r="B345" s="3">
        <v>2022</v>
      </c>
      <c r="C345" s="3" t="s">
        <v>33</v>
      </c>
      <c r="D345" s="3">
        <v>164.9</v>
      </c>
      <c r="E345" s="3">
        <v>213.7</v>
      </c>
      <c r="F345" s="3">
        <v>170.9</v>
      </c>
      <c r="G345" s="3">
        <v>170.1</v>
      </c>
      <c r="H345" s="3">
        <v>179.3</v>
      </c>
      <c r="I345" s="3">
        <v>167.5</v>
      </c>
      <c r="J345" s="3">
        <v>220.8</v>
      </c>
      <c r="K345" s="3">
        <v>169.2</v>
      </c>
      <c r="L345" s="3">
        <v>123.1</v>
      </c>
      <c r="M345" s="3">
        <v>193.6</v>
      </c>
      <c r="N345" s="3">
        <v>161.1</v>
      </c>
      <c r="O345" s="3">
        <v>190.4</v>
      </c>
      <c r="P345" s="3">
        <v>181.8</v>
      </c>
      <c r="Q345" s="68">
        <f t="shared" si="32"/>
        <v>2306.4</v>
      </c>
      <c r="R345" s="3">
        <v>199.7</v>
      </c>
      <c r="S345" s="3">
        <v>175</v>
      </c>
      <c r="T345" s="3">
        <v>161.7</v>
      </c>
      <c r="U345" s="3">
        <v>173</v>
      </c>
      <c r="V345" s="69">
        <f t="shared" si="33"/>
        <v>509.7</v>
      </c>
      <c r="W345" s="3">
        <v>169.5</v>
      </c>
      <c r="X345" s="3">
        <v>165</v>
      </c>
      <c r="Y345" s="3">
        <v>179.2</v>
      </c>
      <c r="Z345" s="3">
        <f t="shared" si="34"/>
        <v>513.7</v>
      </c>
      <c r="AA345" s="3">
        <v>158.2</v>
      </c>
      <c r="AB345" s="3">
        <v>171.1</v>
      </c>
      <c r="AC345" s="3">
        <v>173.8</v>
      </c>
      <c r="AD345" s="68">
        <f t="shared" si="35"/>
        <v>344.9</v>
      </c>
      <c r="AE345" s="3">
        <v>170.9</v>
      </c>
      <c r="AF345" s="3">
        <v>165.8</v>
      </c>
      <c r="AG345" s="3">
        <v>166.1</v>
      </c>
      <c r="AH345" s="3">
        <v>174.1</v>
      </c>
      <c r="AI345" s="3">
        <f t="shared" si="36"/>
        <v>4709.5</v>
      </c>
    </row>
    <row r="346" spans="1:35">
      <c r="A346" s="3" t="s">
        <v>17</v>
      </c>
      <c r="B346" s="3">
        <v>2022</v>
      </c>
      <c r="C346" s="3" t="s">
        <v>33</v>
      </c>
      <c r="D346" s="3">
        <v>163.5</v>
      </c>
      <c r="E346" s="3">
        <v>209.2</v>
      </c>
      <c r="F346" s="3">
        <v>169.7</v>
      </c>
      <c r="G346" s="3">
        <v>169.7</v>
      </c>
      <c r="H346" s="3">
        <v>188.7</v>
      </c>
      <c r="I346" s="3">
        <v>165.7</v>
      </c>
      <c r="J346" s="3">
        <v>191.8</v>
      </c>
      <c r="K346" s="3">
        <v>169.1</v>
      </c>
      <c r="L346" s="3">
        <v>121.6</v>
      </c>
      <c r="M346" s="3">
        <v>197.3</v>
      </c>
      <c r="N346" s="3">
        <v>169.4</v>
      </c>
      <c r="O346" s="3">
        <v>187.4</v>
      </c>
      <c r="P346" s="3">
        <v>177.8</v>
      </c>
      <c r="Q346" s="68">
        <f t="shared" si="32"/>
        <v>2280.9</v>
      </c>
      <c r="R346" s="3">
        <v>195.9</v>
      </c>
      <c r="S346" s="3">
        <v>180.9</v>
      </c>
      <c r="T346" s="3">
        <v>174.3</v>
      </c>
      <c r="U346" s="3">
        <v>179.9</v>
      </c>
      <c r="V346" s="69">
        <f t="shared" si="33"/>
        <v>535.1</v>
      </c>
      <c r="W346" s="3">
        <v>169.5</v>
      </c>
      <c r="X346" s="3">
        <v>169.5</v>
      </c>
      <c r="Y346" s="3">
        <v>179.5</v>
      </c>
      <c r="Z346" s="3">
        <f t="shared" si="34"/>
        <v>518.5</v>
      </c>
      <c r="AA346" s="3">
        <v>162.3</v>
      </c>
      <c r="AB346" s="3">
        <v>170.9</v>
      </c>
      <c r="AC346" s="3">
        <v>177.8</v>
      </c>
      <c r="AD346" s="68">
        <f t="shared" si="35"/>
        <v>348.7</v>
      </c>
      <c r="AE346" s="3">
        <v>173.1</v>
      </c>
      <c r="AF346" s="3">
        <v>167.6</v>
      </c>
      <c r="AG346" s="3">
        <v>169.7</v>
      </c>
      <c r="AH346" s="3">
        <v>175.3</v>
      </c>
      <c r="AI346" s="3">
        <f t="shared" si="36"/>
        <v>4727.1</v>
      </c>
    </row>
    <row r="347" spans="1:35">
      <c r="A347" s="3" t="s">
        <v>14</v>
      </c>
      <c r="B347" s="3">
        <v>2022</v>
      </c>
      <c r="C347" s="3" t="s">
        <v>34</v>
      </c>
      <c r="D347" s="3">
        <v>164.7</v>
      </c>
      <c r="E347" s="3">
        <v>208.8</v>
      </c>
      <c r="F347" s="3">
        <v>170.3</v>
      </c>
      <c r="G347" s="3">
        <v>170.9</v>
      </c>
      <c r="H347" s="3">
        <v>191.6</v>
      </c>
      <c r="I347" s="3">
        <v>162.2</v>
      </c>
      <c r="J347" s="3">
        <v>184.8</v>
      </c>
      <c r="K347" s="3">
        <v>169.7</v>
      </c>
      <c r="L347" s="3">
        <v>121.1</v>
      </c>
      <c r="M347" s="3">
        <v>201.6</v>
      </c>
      <c r="N347" s="3">
        <v>175.8</v>
      </c>
      <c r="O347" s="3">
        <v>185.6</v>
      </c>
      <c r="P347" s="3">
        <v>177.4</v>
      </c>
      <c r="Q347" s="68">
        <f t="shared" si="32"/>
        <v>2284.5</v>
      </c>
      <c r="R347" s="3">
        <v>194.9</v>
      </c>
      <c r="S347" s="3">
        <v>186.1</v>
      </c>
      <c r="T347" s="3">
        <v>184.4</v>
      </c>
      <c r="U347" s="3">
        <v>185.9</v>
      </c>
      <c r="V347" s="69">
        <f t="shared" si="33"/>
        <v>556.4</v>
      </c>
      <c r="W347" s="75">
        <v>171.2</v>
      </c>
      <c r="X347" s="3">
        <v>174.4</v>
      </c>
      <c r="Y347" s="3">
        <v>180.8</v>
      </c>
      <c r="Z347" s="3">
        <f t="shared" si="34"/>
        <v>526.4</v>
      </c>
      <c r="AA347" s="3">
        <v>167.4</v>
      </c>
      <c r="AB347" s="3">
        <v>172</v>
      </c>
      <c r="AC347" s="3">
        <v>181.2</v>
      </c>
      <c r="AD347" s="68">
        <f t="shared" si="35"/>
        <v>353.2</v>
      </c>
      <c r="AE347" s="3">
        <v>176.5</v>
      </c>
      <c r="AF347" s="3">
        <v>170.6</v>
      </c>
      <c r="AG347" s="3">
        <v>173.9</v>
      </c>
      <c r="AH347" s="3">
        <v>177.9</v>
      </c>
      <c r="AI347" s="3">
        <f t="shared" si="36"/>
        <v>4781.7</v>
      </c>
    </row>
    <row r="348" spans="1:35">
      <c r="A348" s="3" t="s">
        <v>16</v>
      </c>
      <c r="B348" s="3">
        <v>2022</v>
      </c>
      <c r="C348" s="3" t="s">
        <v>34</v>
      </c>
      <c r="D348" s="3">
        <v>166.4</v>
      </c>
      <c r="E348" s="3">
        <v>214.9</v>
      </c>
      <c r="F348" s="3">
        <v>171.9</v>
      </c>
      <c r="G348" s="3">
        <v>171</v>
      </c>
      <c r="H348" s="3">
        <v>177.7</v>
      </c>
      <c r="I348" s="3">
        <v>165.7</v>
      </c>
      <c r="J348" s="3">
        <v>228.6</v>
      </c>
      <c r="K348" s="3">
        <v>169.9</v>
      </c>
      <c r="L348" s="3">
        <v>123.4</v>
      </c>
      <c r="M348" s="3">
        <v>196.4</v>
      </c>
      <c r="N348" s="3">
        <v>161.6</v>
      </c>
      <c r="O348" s="3">
        <v>191.5</v>
      </c>
      <c r="P348" s="3">
        <v>183.3</v>
      </c>
      <c r="Q348" s="68">
        <f t="shared" si="32"/>
        <v>2322.3</v>
      </c>
      <c r="R348" s="3">
        <v>200.1</v>
      </c>
      <c r="S348" s="3">
        <v>175.5</v>
      </c>
      <c r="T348" s="3">
        <v>162.6</v>
      </c>
      <c r="U348" s="3">
        <v>173.6</v>
      </c>
      <c r="V348" s="69">
        <f t="shared" si="33"/>
        <v>511.7</v>
      </c>
      <c r="W348" s="3">
        <v>171.2</v>
      </c>
      <c r="X348" s="3">
        <v>166</v>
      </c>
      <c r="Y348" s="3">
        <v>180</v>
      </c>
      <c r="Z348" s="3">
        <f t="shared" si="34"/>
        <v>517.2</v>
      </c>
      <c r="AA348" s="3">
        <v>158.8</v>
      </c>
      <c r="AB348" s="3">
        <v>172.3</v>
      </c>
      <c r="AC348" s="3">
        <v>174.7</v>
      </c>
      <c r="AD348" s="68">
        <f t="shared" si="35"/>
        <v>347</v>
      </c>
      <c r="AE348" s="3">
        <v>171.2</v>
      </c>
      <c r="AF348" s="3">
        <v>166.3</v>
      </c>
      <c r="AG348" s="3">
        <v>166.8</v>
      </c>
      <c r="AH348" s="3">
        <v>175.3</v>
      </c>
      <c r="AI348" s="3">
        <f t="shared" si="36"/>
        <v>4736.7</v>
      </c>
    </row>
    <row r="349" spans="1:35">
      <c r="A349" s="3" t="s">
        <v>17</v>
      </c>
      <c r="B349" s="3">
        <v>2022</v>
      </c>
      <c r="C349" s="3" t="s">
        <v>34</v>
      </c>
      <c r="D349" s="3">
        <v>165.2</v>
      </c>
      <c r="E349" s="3">
        <v>210.9</v>
      </c>
      <c r="F349" s="3">
        <v>170.9</v>
      </c>
      <c r="G349" s="3">
        <v>170.9</v>
      </c>
      <c r="H349" s="3">
        <v>186.5</v>
      </c>
      <c r="I349" s="3">
        <v>163.8</v>
      </c>
      <c r="J349" s="3">
        <v>199.7</v>
      </c>
      <c r="K349" s="3">
        <v>169.8</v>
      </c>
      <c r="L349" s="3">
        <v>121.9</v>
      </c>
      <c r="M349" s="3">
        <v>199.9</v>
      </c>
      <c r="N349" s="3">
        <v>169.9</v>
      </c>
      <c r="O349" s="3">
        <v>188.3</v>
      </c>
      <c r="P349" s="3">
        <v>179.6</v>
      </c>
      <c r="Q349" s="68">
        <f t="shared" si="32"/>
        <v>2297.3</v>
      </c>
      <c r="R349" s="3">
        <v>196.3</v>
      </c>
      <c r="S349" s="3">
        <v>181.9</v>
      </c>
      <c r="T349" s="3">
        <v>175.3</v>
      </c>
      <c r="U349" s="3">
        <v>181</v>
      </c>
      <c r="V349" s="69">
        <f t="shared" si="33"/>
        <v>538.2</v>
      </c>
      <c r="W349" s="3">
        <v>171.2</v>
      </c>
      <c r="X349" s="3">
        <v>170.4</v>
      </c>
      <c r="Y349" s="3">
        <v>180.5</v>
      </c>
      <c r="Z349" s="3">
        <f t="shared" si="34"/>
        <v>522.1</v>
      </c>
      <c r="AA349" s="3">
        <v>162.9</v>
      </c>
      <c r="AB349" s="3">
        <v>172.1</v>
      </c>
      <c r="AC349" s="3">
        <v>178.7</v>
      </c>
      <c r="AD349" s="68">
        <f t="shared" si="35"/>
        <v>350.8</v>
      </c>
      <c r="AE349" s="3">
        <v>173.4</v>
      </c>
      <c r="AF349" s="3">
        <v>168.2</v>
      </c>
      <c r="AG349" s="3">
        <v>170.5</v>
      </c>
      <c r="AH349" s="3">
        <v>176.7</v>
      </c>
      <c r="AI349" s="3">
        <f t="shared" si="36"/>
        <v>4756.4</v>
      </c>
    </row>
    <row r="350" spans="1:35">
      <c r="A350" s="3" t="s">
        <v>14</v>
      </c>
      <c r="B350" s="3">
        <v>2022</v>
      </c>
      <c r="C350" s="3" t="s">
        <v>36</v>
      </c>
      <c r="D350" s="3">
        <v>166.9</v>
      </c>
      <c r="E350" s="3">
        <v>207.2</v>
      </c>
      <c r="F350" s="3">
        <v>180.2</v>
      </c>
      <c r="G350" s="3">
        <v>172.3</v>
      </c>
      <c r="H350" s="3">
        <v>194</v>
      </c>
      <c r="I350" s="3">
        <v>159.1</v>
      </c>
      <c r="J350" s="3">
        <v>171.6</v>
      </c>
      <c r="K350" s="3">
        <v>170.2</v>
      </c>
      <c r="L350" s="3">
        <v>121.5</v>
      </c>
      <c r="M350" s="3">
        <v>204.8</v>
      </c>
      <c r="N350" s="3">
        <v>176.4</v>
      </c>
      <c r="O350" s="3">
        <v>186.9</v>
      </c>
      <c r="P350" s="3">
        <v>176.6</v>
      </c>
      <c r="Q350" s="68">
        <f t="shared" si="32"/>
        <v>2287.7</v>
      </c>
      <c r="R350" s="3">
        <v>195.5</v>
      </c>
      <c r="S350" s="3">
        <v>187.2</v>
      </c>
      <c r="T350" s="3">
        <v>185.2</v>
      </c>
      <c r="U350" s="3">
        <v>186.9</v>
      </c>
      <c r="V350" s="69">
        <f t="shared" si="33"/>
        <v>559.3</v>
      </c>
      <c r="W350" s="75">
        <v>171.8</v>
      </c>
      <c r="X350" s="3">
        <v>175.5</v>
      </c>
      <c r="Y350" s="3">
        <v>181.9</v>
      </c>
      <c r="Z350" s="3">
        <f t="shared" si="34"/>
        <v>529.2</v>
      </c>
      <c r="AA350" s="3">
        <v>167.5</v>
      </c>
      <c r="AB350" s="3">
        <v>173.4</v>
      </c>
      <c r="AC350" s="3">
        <v>182.3</v>
      </c>
      <c r="AD350" s="68">
        <f t="shared" si="35"/>
        <v>355.7</v>
      </c>
      <c r="AE350" s="3">
        <v>176.9</v>
      </c>
      <c r="AF350" s="3">
        <v>170.8</v>
      </c>
      <c r="AG350" s="3">
        <v>174.6</v>
      </c>
      <c r="AH350" s="3">
        <v>177.8</v>
      </c>
      <c r="AI350" s="3">
        <f t="shared" si="36"/>
        <v>4795</v>
      </c>
    </row>
    <row r="351" spans="1:35">
      <c r="A351" s="3" t="s">
        <v>16</v>
      </c>
      <c r="B351" s="3">
        <v>2022</v>
      </c>
      <c r="C351" s="3" t="s">
        <v>36</v>
      </c>
      <c r="D351" s="3">
        <v>168.4</v>
      </c>
      <c r="E351" s="3">
        <v>213.4</v>
      </c>
      <c r="F351" s="3">
        <v>183.2</v>
      </c>
      <c r="G351" s="3">
        <v>172.3</v>
      </c>
      <c r="H351" s="3">
        <v>180</v>
      </c>
      <c r="I351" s="3">
        <v>162.6</v>
      </c>
      <c r="J351" s="3">
        <v>205.5</v>
      </c>
      <c r="K351" s="3">
        <v>171</v>
      </c>
      <c r="L351" s="3">
        <v>123.4</v>
      </c>
      <c r="M351" s="3">
        <v>198.8</v>
      </c>
      <c r="N351" s="3">
        <v>162.1</v>
      </c>
      <c r="O351" s="3">
        <v>192.4</v>
      </c>
      <c r="P351" s="3">
        <v>181.3</v>
      </c>
      <c r="Q351" s="68">
        <f t="shared" si="32"/>
        <v>2314.4</v>
      </c>
      <c r="R351" s="3">
        <v>200.6</v>
      </c>
      <c r="S351" s="3">
        <v>176.7</v>
      </c>
      <c r="T351" s="3">
        <v>163.5</v>
      </c>
      <c r="U351" s="3">
        <v>174.7</v>
      </c>
      <c r="V351" s="69">
        <f t="shared" si="33"/>
        <v>514.9</v>
      </c>
      <c r="W351" s="3">
        <v>171.8</v>
      </c>
      <c r="X351" s="3">
        <v>166.9</v>
      </c>
      <c r="Y351" s="3">
        <v>180.3</v>
      </c>
      <c r="Z351" s="3">
        <f t="shared" si="34"/>
        <v>519</v>
      </c>
      <c r="AA351" s="3">
        <v>158.9</v>
      </c>
      <c r="AB351" s="3">
        <v>173.8</v>
      </c>
      <c r="AC351" s="3">
        <v>175.8</v>
      </c>
      <c r="AD351" s="68">
        <f t="shared" si="35"/>
        <v>349.6</v>
      </c>
      <c r="AE351" s="3">
        <v>171.5</v>
      </c>
      <c r="AF351" s="3">
        <v>166.7</v>
      </c>
      <c r="AG351" s="3">
        <v>167.4</v>
      </c>
      <c r="AH351" s="3">
        <v>174.1</v>
      </c>
      <c r="AI351" s="3">
        <f t="shared" si="36"/>
        <v>4737.1</v>
      </c>
    </row>
    <row r="352" spans="1:35">
      <c r="A352" s="3" t="s">
        <v>17</v>
      </c>
      <c r="B352" s="3">
        <v>2022</v>
      </c>
      <c r="C352" s="3" t="s">
        <v>36</v>
      </c>
      <c r="D352" s="3">
        <v>167.4</v>
      </c>
      <c r="E352" s="3">
        <v>209.4</v>
      </c>
      <c r="F352" s="3">
        <v>181.4</v>
      </c>
      <c r="G352" s="3">
        <v>172.3</v>
      </c>
      <c r="H352" s="3">
        <v>188.9</v>
      </c>
      <c r="I352" s="3">
        <v>160.7</v>
      </c>
      <c r="J352" s="3">
        <v>183.1</v>
      </c>
      <c r="K352" s="3">
        <v>170.5</v>
      </c>
      <c r="L352" s="3">
        <v>122.1</v>
      </c>
      <c r="M352" s="3">
        <v>202.8</v>
      </c>
      <c r="N352" s="3">
        <v>170.4</v>
      </c>
      <c r="O352" s="3">
        <v>189.5</v>
      </c>
      <c r="P352" s="3">
        <v>178.3</v>
      </c>
      <c r="Q352" s="68">
        <f t="shared" si="32"/>
        <v>2296.8</v>
      </c>
      <c r="R352" s="3">
        <v>196.9</v>
      </c>
      <c r="S352" s="3">
        <v>183.1</v>
      </c>
      <c r="T352" s="3">
        <v>176.2</v>
      </c>
      <c r="U352" s="3">
        <v>182.1</v>
      </c>
      <c r="V352" s="69">
        <f t="shared" si="33"/>
        <v>541.4</v>
      </c>
      <c r="W352" s="3">
        <v>171.8</v>
      </c>
      <c r="X352" s="3">
        <v>171.4</v>
      </c>
      <c r="Y352" s="3">
        <v>181.3</v>
      </c>
      <c r="Z352" s="3">
        <f t="shared" si="34"/>
        <v>524.5</v>
      </c>
      <c r="AA352" s="3">
        <v>163</v>
      </c>
      <c r="AB352" s="3">
        <v>173.6</v>
      </c>
      <c r="AC352" s="3">
        <v>179.8</v>
      </c>
      <c r="AD352" s="68">
        <f t="shared" si="35"/>
        <v>353.4</v>
      </c>
      <c r="AE352" s="3">
        <v>173.7</v>
      </c>
      <c r="AF352" s="3">
        <v>168.5</v>
      </c>
      <c r="AG352" s="3">
        <v>171.1</v>
      </c>
      <c r="AH352" s="3">
        <v>176.5</v>
      </c>
      <c r="AI352" s="3">
        <f t="shared" si="36"/>
        <v>4765.8</v>
      </c>
    </row>
    <row r="353" spans="1:35">
      <c r="A353" s="3" t="s">
        <v>14</v>
      </c>
      <c r="B353" s="3">
        <v>2022</v>
      </c>
      <c r="C353" s="3" t="s">
        <v>37</v>
      </c>
      <c r="D353" s="3">
        <v>168.8</v>
      </c>
      <c r="E353" s="3">
        <v>206.9</v>
      </c>
      <c r="F353" s="3">
        <v>189.1</v>
      </c>
      <c r="G353" s="3">
        <v>173.4</v>
      </c>
      <c r="H353" s="3">
        <v>193.9</v>
      </c>
      <c r="I353" s="3">
        <v>156.7</v>
      </c>
      <c r="J353" s="3">
        <v>150.2</v>
      </c>
      <c r="K353" s="3">
        <v>170.5</v>
      </c>
      <c r="L353" s="3">
        <v>121.2</v>
      </c>
      <c r="M353" s="3">
        <v>207.5</v>
      </c>
      <c r="N353" s="3">
        <v>176.8</v>
      </c>
      <c r="O353" s="3">
        <v>187.7</v>
      </c>
      <c r="P353" s="3">
        <v>174.4</v>
      </c>
      <c r="Q353" s="68">
        <f t="shared" si="32"/>
        <v>2277.1</v>
      </c>
      <c r="R353" s="3">
        <v>195.9</v>
      </c>
      <c r="S353" s="3">
        <v>188.1</v>
      </c>
      <c r="T353" s="3">
        <v>185.9</v>
      </c>
      <c r="U353" s="3">
        <v>187.8</v>
      </c>
      <c r="V353" s="69">
        <f t="shared" si="33"/>
        <v>561.8</v>
      </c>
      <c r="W353" s="75">
        <v>170.7</v>
      </c>
      <c r="X353" s="3">
        <v>176.4</v>
      </c>
      <c r="Y353" s="3">
        <v>182.8</v>
      </c>
      <c r="Z353" s="3">
        <f t="shared" si="34"/>
        <v>529.9</v>
      </c>
      <c r="AA353" s="3">
        <v>167.8</v>
      </c>
      <c r="AB353" s="3">
        <v>175.7</v>
      </c>
      <c r="AC353" s="3">
        <v>183.5</v>
      </c>
      <c r="AD353" s="68">
        <f t="shared" si="35"/>
        <v>359.2</v>
      </c>
      <c r="AE353" s="3">
        <v>177.3</v>
      </c>
      <c r="AF353" s="3">
        <v>171.2</v>
      </c>
      <c r="AG353" s="3">
        <v>175.5</v>
      </c>
      <c r="AH353" s="3">
        <v>177.1</v>
      </c>
      <c r="AI353" s="3">
        <f t="shared" si="36"/>
        <v>4792.8</v>
      </c>
    </row>
    <row r="354" spans="1:35">
      <c r="A354" s="3" t="s">
        <v>16</v>
      </c>
      <c r="B354" s="3">
        <v>2022</v>
      </c>
      <c r="C354" s="3" t="s">
        <v>37</v>
      </c>
      <c r="D354" s="3">
        <v>170.2</v>
      </c>
      <c r="E354" s="3">
        <v>212.9</v>
      </c>
      <c r="F354" s="3">
        <v>191.9</v>
      </c>
      <c r="G354" s="3">
        <v>173.9</v>
      </c>
      <c r="H354" s="3">
        <v>179.1</v>
      </c>
      <c r="I354" s="3">
        <v>159.5</v>
      </c>
      <c r="J354" s="3">
        <v>178.7</v>
      </c>
      <c r="K354" s="3">
        <v>171.3</v>
      </c>
      <c r="L354" s="3">
        <v>123.1</v>
      </c>
      <c r="M354" s="3">
        <v>200.5</v>
      </c>
      <c r="N354" s="3">
        <v>162.8</v>
      </c>
      <c r="O354" s="3">
        <v>193.3</v>
      </c>
      <c r="P354" s="3">
        <v>178.6</v>
      </c>
      <c r="Q354" s="68">
        <f t="shared" si="32"/>
        <v>2295.8</v>
      </c>
      <c r="R354" s="3">
        <v>201.1</v>
      </c>
      <c r="S354" s="3">
        <v>177.7</v>
      </c>
      <c r="T354" s="3">
        <v>164.5</v>
      </c>
      <c r="U354" s="3">
        <v>175.7</v>
      </c>
      <c r="V354" s="69">
        <f t="shared" si="33"/>
        <v>517.9</v>
      </c>
      <c r="W354" s="3">
        <v>170.7</v>
      </c>
      <c r="X354" s="3">
        <v>167.3</v>
      </c>
      <c r="Y354" s="3">
        <v>180.6</v>
      </c>
      <c r="Z354" s="3">
        <f t="shared" si="34"/>
        <v>518.6</v>
      </c>
      <c r="AA354" s="3">
        <v>159.4</v>
      </c>
      <c r="AB354" s="3">
        <v>176</v>
      </c>
      <c r="AC354" s="3">
        <v>177.2</v>
      </c>
      <c r="AD354" s="68">
        <f t="shared" si="35"/>
        <v>353.2</v>
      </c>
      <c r="AE354" s="3">
        <v>171.8</v>
      </c>
      <c r="AF354" s="3">
        <v>167.1</v>
      </c>
      <c r="AG354" s="3">
        <v>168.2</v>
      </c>
      <c r="AH354" s="3">
        <v>174.1</v>
      </c>
      <c r="AI354" s="3">
        <f t="shared" si="36"/>
        <v>4727.2</v>
      </c>
    </row>
    <row r="355" spans="1:35">
      <c r="A355" s="3" t="s">
        <v>17</v>
      </c>
      <c r="B355" s="3">
        <v>2022</v>
      </c>
      <c r="C355" s="3" t="s">
        <v>37</v>
      </c>
      <c r="D355" s="3">
        <v>169.2</v>
      </c>
      <c r="E355" s="3">
        <v>209</v>
      </c>
      <c r="F355" s="3">
        <v>190.2</v>
      </c>
      <c r="G355" s="3">
        <v>173.6</v>
      </c>
      <c r="H355" s="3">
        <v>188.5</v>
      </c>
      <c r="I355" s="3">
        <v>158</v>
      </c>
      <c r="J355" s="3">
        <v>159.9</v>
      </c>
      <c r="K355" s="3">
        <v>170.8</v>
      </c>
      <c r="L355" s="3">
        <v>121.8</v>
      </c>
      <c r="M355" s="3">
        <v>205.2</v>
      </c>
      <c r="N355" s="3">
        <v>171</v>
      </c>
      <c r="O355" s="3">
        <v>190.3</v>
      </c>
      <c r="P355" s="3">
        <v>175.9</v>
      </c>
      <c r="Q355" s="68">
        <f t="shared" si="32"/>
        <v>2283.4</v>
      </c>
      <c r="R355" s="3">
        <v>197.3</v>
      </c>
      <c r="S355" s="3">
        <v>184</v>
      </c>
      <c r="T355" s="3">
        <v>177</v>
      </c>
      <c r="U355" s="3">
        <v>183</v>
      </c>
      <c r="V355" s="69">
        <f t="shared" si="33"/>
        <v>544</v>
      </c>
      <c r="W355" s="3">
        <v>170.7</v>
      </c>
      <c r="X355" s="3">
        <v>172.1</v>
      </c>
      <c r="Y355" s="3">
        <v>182</v>
      </c>
      <c r="Z355" s="3">
        <f t="shared" si="34"/>
        <v>524.8</v>
      </c>
      <c r="AA355" s="3">
        <v>163.4</v>
      </c>
      <c r="AB355" s="3">
        <v>175.8</v>
      </c>
      <c r="AC355" s="3">
        <v>181.1</v>
      </c>
      <c r="AD355" s="68">
        <f t="shared" si="35"/>
        <v>356.9</v>
      </c>
      <c r="AE355" s="3">
        <v>174.1</v>
      </c>
      <c r="AF355" s="3">
        <v>168.9</v>
      </c>
      <c r="AG355" s="3">
        <v>172</v>
      </c>
      <c r="AH355" s="3">
        <v>175.7</v>
      </c>
      <c r="AI355" s="3">
        <f t="shared" si="36"/>
        <v>4760.5</v>
      </c>
    </row>
    <row r="356" spans="1:35">
      <c r="A356" s="3" t="s">
        <v>14</v>
      </c>
      <c r="B356" s="3">
        <v>2023</v>
      </c>
      <c r="C356" s="3" t="s">
        <v>19</v>
      </c>
      <c r="D356" s="3">
        <v>174</v>
      </c>
      <c r="E356" s="3">
        <v>208.3</v>
      </c>
      <c r="F356" s="3">
        <v>192.9</v>
      </c>
      <c r="G356" s="3">
        <v>174.3</v>
      </c>
      <c r="H356" s="3">
        <v>192.6</v>
      </c>
      <c r="I356" s="3">
        <v>156.3</v>
      </c>
      <c r="J356" s="3">
        <v>142.9</v>
      </c>
      <c r="K356" s="3">
        <v>170.7</v>
      </c>
      <c r="L356" s="3">
        <v>120.3</v>
      </c>
      <c r="M356" s="3">
        <v>210.5</v>
      </c>
      <c r="N356" s="3">
        <v>176.9</v>
      </c>
      <c r="O356" s="3">
        <v>188.5</v>
      </c>
      <c r="P356" s="3">
        <v>175</v>
      </c>
      <c r="Q356" s="68">
        <f t="shared" si="32"/>
        <v>2283.2</v>
      </c>
      <c r="R356" s="3">
        <v>196.9</v>
      </c>
      <c r="S356" s="3">
        <v>189</v>
      </c>
      <c r="T356" s="3">
        <v>186.3</v>
      </c>
      <c r="U356" s="3">
        <v>188.6</v>
      </c>
      <c r="V356" s="69">
        <f t="shared" si="33"/>
        <v>563.9</v>
      </c>
      <c r="W356" s="75">
        <v>172.1</v>
      </c>
      <c r="X356" s="3">
        <v>177.2</v>
      </c>
      <c r="Y356" s="3">
        <v>183.2</v>
      </c>
      <c r="Z356" s="3">
        <f t="shared" si="34"/>
        <v>532.5</v>
      </c>
      <c r="AA356" s="3">
        <v>168.2</v>
      </c>
      <c r="AB356" s="3">
        <v>178.4</v>
      </c>
      <c r="AC356" s="3">
        <v>184.7</v>
      </c>
      <c r="AD356" s="68">
        <f t="shared" si="35"/>
        <v>363.1</v>
      </c>
      <c r="AE356" s="3">
        <v>177.8</v>
      </c>
      <c r="AF356" s="3">
        <v>171.8</v>
      </c>
      <c r="AG356" s="3">
        <v>176.5</v>
      </c>
      <c r="AH356" s="3">
        <v>177.8</v>
      </c>
      <c r="AI356" s="3">
        <f t="shared" si="36"/>
        <v>4811.7</v>
      </c>
    </row>
    <row r="357" spans="1:35">
      <c r="A357" s="3" t="s">
        <v>16</v>
      </c>
      <c r="B357" s="3">
        <v>2023</v>
      </c>
      <c r="C357" s="3" t="s">
        <v>19</v>
      </c>
      <c r="D357" s="3">
        <v>173.3</v>
      </c>
      <c r="E357" s="3">
        <v>215.2</v>
      </c>
      <c r="F357" s="3">
        <v>197</v>
      </c>
      <c r="G357" s="3">
        <v>175.2</v>
      </c>
      <c r="H357" s="3">
        <v>178</v>
      </c>
      <c r="I357" s="3">
        <v>160.5</v>
      </c>
      <c r="J357" s="3">
        <v>175.3</v>
      </c>
      <c r="K357" s="3">
        <v>171.2</v>
      </c>
      <c r="L357" s="3">
        <v>122.7</v>
      </c>
      <c r="M357" s="3">
        <v>204.3</v>
      </c>
      <c r="N357" s="3">
        <v>163.7</v>
      </c>
      <c r="O357" s="3">
        <v>194.3</v>
      </c>
      <c r="P357" s="3">
        <v>179.5</v>
      </c>
      <c r="Q357" s="68">
        <f t="shared" si="32"/>
        <v>2310.2</v>
      </c>
      <c r="R357" s="3">
        <v>201.6</v>
      </c>
      <c r="S357" s="3">
        <v>178.7</v>
      </c>
      <c r="T357" s="3">
        <v>165.3</v>
      </c>
      <c r="U357" s="3">
        <v>176.6</v>
      </c>
      <c r="V357" s="69">
        <f t="shared" si="33"/>
        <v>520.6</v>
      </c>
      <c r="W357" s="3">
        <v>172.1</v>
      </c>
      <c r="X357" s="3">
        <v>168</v>
      </c>
      <c r="Y357" s="3">
        <v>180.1</v>
      </c>
      <c r="Z357" s="3">
        <f t="shared" si="34"/>
        <v>520.2</v>
      </c>
      <c r="AA357" s="3">
        <v>159.5</v>
      </c>
      <c r="AB357" s="3">
        <v>178.8</v>
      </c>
      <c r="AC357" s="3">
        <v>178.5</v>
      </c>
      <c r="AD357" s="68">
        <f t="shared" si="35"/>
        <v>357.3</v>
      </c>
      <c r="AE357" s="3">
        <v>171.8</v>
      </c>
      <c r="AF357" s="3">
        <v>167.8</v>
      </c>
      <c r="AG357" s="3">
        <v>168.9</v>
      </c>
      <c r="AH357" s="3">
        <v>174.9</v>
      </c>
      <c r="AI357" s="3">
        <f t="shared" si="36"/>
        <v>4752.8</v>
      </c>
    </row>
    <row r="358" spans="1:35">
      <c r="A358" s="3" t="s">
        <v>17</v>
      </c>
      <c r="B358" s="3">
        <v>2023</v>
      </c>
      <c r="C358" s="3" t="s">
        <v>19</v>
      </c>
      <c r="D358" s="3">
        <v>173.8</v>
      </c>
      <c r="E358" s="3">
        <v>210.7</v>
      </c>
      <c r="F358" s="3">
        <v>194.5</v>
      </c>
      <c r="G358" s="3">
        <v>174.6</v>
      </c>
      <c r="H358" s="3">
        <v>187.2</v>
      </c>
      <c r="I358" s="3">
        <v>158.3</v>
      </c>
      <c r="J358" s="3">
        <v>153.9</v>
      </c>
      <c r="K358" s="3">
        <v>170.9</v>
      </c>
      <c r="L358" s="3">
        <v>121.1</v>
      </c>
      <c r="M358" s="3">
        <v>208.4</v>
      </c>
      <c r="N358" s="3">
        <v>171.4</v>
      </c>
      <c r="O358" s="3">
        <v>191.2</v>
      </c>
      <c r="P358" s="3">
        <v>176.7</v>
      </c>
      <c r="Q358" s="68">
        <f t="shared" si="32"/>
        <v>2292.7</v>
      </c>
      <c r="R358" s="3">
        <v>198.2</v>
      </c>
      <c r="S358" s="3">
        <v>184.9</v>
      </c>
      <c r="T358" s="3">
        <v>177.6</v>
      </c>
      <c r="U358" s="3">
        <v>183.8</v>
      </c>
      <c r="V358" s="69">
        <f t="shared" si="33"/>
        <v>546.3</v>
      </c>
      <c r="W358" s="3">
        <v>172.1</v>
      </c>
      <c r="X358" s="3">
        <v>172.9</v>
      </c>
      <c r="Y358" s="3">
        <v>182</v>
      </c>
      <c r="Z358" s="3">
        <f t="shared" si="34"/>
        <v>527</v>
      </c>
      <c r="AA358" s="3">
        <v>163.6</v>
      </c>
      <c r="AB358" s="3">
        <v>178.6</v>
      </c>
      <c r="AC358" s="3">
        <v>182.3</v>
      </c>
      <c r="AD358" s="68">
        <f t="shared" si="35"/>
        <v>360.9</v>
      </c>
      <c r="AE358" s="3">
        <v>174.3</v>
      </c>
      <c r="AF358" s="3">
        <v>169.5</v>
      </c>
      <c r="AG358" s="3">
        <v>172.8</v>
      </c>
      <c r="AH358" s="3">
        <v>176.5</v>
      </c>
      <c r="AI358" s="3">
        <f t="shared" si="36"/>
        <v>4781.8</v>
      </c>
    </row>
    <row r="359" spans="1:35">
      <c r="A359" s="3" t="s">
        <v>14</v>
      </c>
      <c r="B359" s="3">
        <v>2023</v>
      </c>
      <c r="C359" s="3" t="s">
        <v>20</v>
      </c>
      <c r="D359" s="3">
        <v>174.2</v>
      </c>
      <c r="E359" s="3">
        <v>205.2</v>
      </c>
      <c r="F359" s="3">
        <v>173.9</v>
      </c>
      <c r="G359" s="3">
        <v>177</v>
      </c>
      <c r="H359" s="3">
        <v>183.4</v>
      </c>
      <c r="I359" s="3">
        <v>167.2</v>
      </c>
      <c r="J359" s="3">
        <v>140.9</v>
      </c>
      <c r="K359" s="3">
        <v>170.4</v>
      </c>
      <c r="L359" s="3">
        <v>119.1</v>
      </c>
      <c r="M359" s="3">
        <v>212.1</v>
      </c>
      <c r="N359" s="3">
        <v>177.6</v>
      </c>
      <c r="O359" s="3">
        <v>189.9</v>
      </c>
      <c r="P359" s="3">
        <v>174.8</v>
      </c>
      <c r="Q359" s="68">
        <f t="shared" si="32"/>
        <v>2265.7</v>
      </c>
      <c r="R359" s="3">
        <v>198.3</v>
      </c>
      <c r="S359" s="3">
        <v>190</v>
      </c>
      <c r="T359" s="3">
        <v>187</v>
      </c>
      <c r="U359" s="3">
        <v>189.6</v>
      </c>
      <c r="V359" s="69">
        <f t="shared" si="33"/>
        <v>566.6</v>
      </c>
      <c r="W359" s="75">
        <v>173.5</v>
      </c>
      <c r="X359" s="3">
        <v>178.6</v>
      </c>
      <c r="Y359" s="3">
        <v>181.6</v>
      </c>
      <c r="Z359" s="3">
        <f t="shared" si="34"/>
        <v>533.7</v>
      </c>
      <c r="AA359" s="3">
        <v>169</v>
      </c>
      <c r="AB359" s="3">
        <v>180.7</v>
      </c>
      <c r="AC359" s="3">
        <v>186.6</v>
      </c>
      <c r="AD359" s="68">
        <f t="shared" si="35"/>
        <v>367.3</v>
      </c>
      <c r="AE359" s="3">
        <v>178.5</v>
      </c>
      <c r="AF359" s="3">
        <v>172.8</v>
      </c>
      <c r="AG359" s="3">
        <v>177.9</v>
      </c>
      <c r="AH359" s="3">
        <v>178</v>
      </c>
      <c r="AI359" s="3">
        <f t="shared" si="36"/>
        <v>4807.8</v>
      </c>
    </row>
    <row r="360" spans="1:35">
      <c r="A360" s="3" t="s">
        <v>16</v>
      </c>
      <c r="B360" s="3">
        <v>2023</v>
      </c>
      <c r="C360" s="3" t="s">
        <v>20</v>
      </c>
      <c r="D360" s="3">
        <v>174.7</v>
      </c>
      <c r="E360" s="3">
        <v>212.2</v>
      </c>
      <c r="F360" s="3">
        <v>177.2</v>
      </c>
      <c r="G360" s="3">
        <v>177.9</v>
      </c>
      <c r="H360" s="3">
        <v>172.2</v>
      </c>
      <c r="I360" s="3">
        <v>172.1</v>
      </c>
      <c r="J360" s="3">
        <v>175.8</v>
      </c>
      <c r="K360" s="3">
        <v>172.2</v>
      </c>
      <c r="L360" s="3">
        <v>121.9</v>
      </c>
      <c r="M360" s="3">
        <v>204.8</v>
      </c>
      <c r="N360" s="3">
        <v>164.9</v>
      </c>
      <c r="O360" s="3">
        <v>196.6</v>
      </c>
      <c r="P360" s="3">
        <v>180.7</v>
      </c>
      <c r="Q360" s="68">
        <f t="shared" si="32"/>
        <v>2303.2</v>
      </c>
      <c r="R360" s="3">
        <v>202.7</v>
      </c>
      <c r="S360" s="3">
        <v>180.3</v>
      </c>
      <c r="T360" s="3">
        <v>167</v>
      </c>
      <c r="U360" s="3">
        <v>178.2</v>
      </c>
      <c r="V360" s="69">
        <f t="shared" si="33"/>
        <v>525.5</v>
      </c>
      <c r="W360" s="3">
        <v>173.5</v>
      </c>
      <c r="X360" s="3">
        <v>169.2</v>
      </c>
      <c r="Y360" s="3">
        <v>182.8</v>
      </c>
      <c r="Z360" s="3">
        <f t="shared" si="34"/>
        <v>525.5</v>
      </c>
      <c r="AA360" s="3">
        <v>159.8</v>
      </c>
      <c r="AB360" s="3">
        <v>181.4</v>
      </c>
      <c r="AC360" s="3">
        <v>180.8</v>
      </c>
      <c r="AD360" s="68">
        <f t="shared" si="35"/>
        <v>362.2</v>
      </c>
      <c r="AE360" s="3">
        <v>172.5</v>
      </c>
      <c r="AF360" s="3">
        <v>168.4</v>
      </c>
      <c r="AG360" s="3">
        <v>170</v>
      </c>
      <c r="AH360" s="3">
        <v>176.3</v>
      </c>
      <c r="AI360" s="3">
        <f t="shared" si="36"/>
        <v>4766.1</v>
      </c>
    </row>
    <row r="361" spans="1:35">
      <c r="A361" s="3" t="s">
        <v>17</v>
      </c>
      <c r="B361" s="3">
        <v>2023</v>
      </c>
      <c r="C361" s="3" t="s">
        <v>20</v>
      </c>
      <c r="D361" s="3">
        <v>174.4</v>
      </c>
      <c r="E361" s="3">
        <v>207.7</v>
      </c>
      <c r="F361" s="3">
        <v>175.2</v>
      </c>
      <c r="G361" s="3">
        <v>177.3</v>
      </c>
      <c r="H361" s="3">
        <v>179.3</v>
      </c>
      <c r="I361" s="3">
        <v>169.5</v>
      </c>
      <c r="J361" s="3">
        <v>152.7</v>
      </c>
      <c r="K361" s="3">
        <v>171</v>
      </c>
      <c r="L361" s="3">
        <v>120</v>
      </c>
      <c r="M361" s="3">
        <v>209.7</v>
      </c>
      <c r="N361" s="3">
        <v>172.3</v>
      </c>
      <c r="O361" s="3">
        <v>193</v>
      </c>
      <c r="P361" s="3">
        <v>177</v>
      </c>
      <c r="Q361" s="68">
        <f t="shared" si="32"/>
        <v>2279.1</v>
      </c>
      <c r="R361" s="3">
        <v>199.5</v>
      </c>
      <c r="S361" s="3">
        <v>186.2</v>
      </c>
      <c r="T361" s="3">
        <v>178.7</v>
      </c>
      <c r="U361" s="3">
        <v>185.1</v>
      </c>
      <c r="V361" s="69">
        <f t="shared" si="33"/>
        <v>550</v>
      </c>
      <c r="W361" s="3">
        <v>173.5</v>
      </c>
      <c r="X361" s="3">
        <v>174.2</v>
      </c>
      <c r="Y361" s="3">
        <v>182.1</v>
      </c>
      <c r="Z361" s="3">
        <f t="shared" si="34"/>
        <v>529.8</v>
      </c>
      <c r="AA361" s="3">
        <v>164.2</v>
      </c>
      <c r="AB361" s="3">
        <v>181</v>
      </c>
      <c r="AC361" s="3">
        <v>184.4</v>
      </c>
      <c r="AD361" s="68">
        <f t="shared" si="35"/>
        <v>365.4</v>
      </c>
      <c r="AE361" s="3">
        <v>175</v>
      </c>
      <c r="AF361" s="3">
        <v>170.3</v>
      </c>
      <c r="AG361" s="3">
        <v>174.1</v>
      </c>
      <c r="AH361" s="3">
        <v>177.2</v>
      </c>
      <c r="AI361" s="3">
        <f t="shared" si="36"/>
        <v>4784.6</v>
      </c>
    </row>
    <row r="362" spans="1:35">
      <c r="A362" s="3" t="s">
        <v>14</v>
      </c>
      <c r="B362" s="3">
        <v>2023</v>
      </c>
      <c r="C362" s="3" t="s">
        <v>26</v>
      </c>
      <c r="D362" s="3">
        <v>174.3</v>
      </c>
      <c r="E362" s="3">
        <v>205.2</v>
      </c>
      <c r="F362" s="3">
        <v>173.9</v>
      </c>
      <c r="G362" s="3">
        <v>177</v>
      </c>
      <c r="H362" s="3">
        <v>183.3</v>
      </c>
      <c r="I362" s="3">
        <v>167.2</v>
      </c>
      <c r="J362" s="3">
        <v>140.9</v>
      </c>
      <c r="K362" s="3">
        <v>170.5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68">
        <f t="shared" si="32"/>
        <v>2265.8</v>
      </c>
      <c r="R362" s="3">
        <v>198.4</v>
      </c>
      <c r="S362" s="3">
        <v>190</v>
      </c>
      <c r="T362" s="3">
        <v>187</v>
      </c>
      <c r="U362" s="3">
        <v>189.6</v>
      </c>
      <c r="V362" s="69">
        <f t="shared" si="33"/>
        <v>566.6</v>
      </c>
      <c r="W362" s="75">
        <v>173.5</v>
      </c>
      <c r="X362" s="3">
        <v>178.6</v>
      </c>
      <c r="Y362" s="3">
        <v>181.4</v>
      </c>
      <c r="Z362" s="3">
        <f t="shared" si="34"/>
        <v>533.5</v>
      </c>
      <c r="AA362" s="3">
        <v>169</v>
      </c>
      <c r="AB362" s="3">
        <v>180.7</v>
      </c>
      <c r="AC362" s="3">
        <v>186.6</v>
      </c>
      <c r="AD362" s="68">
        <f t="shared" si="35"/>
        <v>367.3</v>
      </c>
      <c r="AE362" s="3">
        <v>178.5</v>
      </c>
      <c r="AF362" s="3">
        <v>172.8</v>
      </c>
      <c r="AG362" s="3">
        <v>177.9</v>
      </c>
      <c r="AH362" s="3">
        <v>178</v>
      </c>
      <c r="AI362" s="3">
        <f t="shared" si="36"/>
        <v>4807.8</v>
      </c>
    </row>
    <row r="363" spans="1:35">
      <c r="A363" s="3" t="s">
        <v>16</v>
      </c>
      <c r="B363" s="3">
        <v>2023</v>
      </c>
      <c r="C363" s="3" t="s">
        <v>26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175.9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180.8</v>
      </c>
      <c r="Q363" s="68">
        <f t="shared" si="32"/>
        <v>2303.4</v>
      </c>
      <c r="R363" s="3">
        <v>202.7</v>
      </c>
      <c r="S363" s="3">
        <v>180.2</v>
      </c>
      <c r="T363" s="3">
        <v>167</v>
      </c>
      <c r="U363" s="3">
        <v>178.2</v>
      </c>
      <c r="V363" s="69">
        <f t="shared" si="33"/>
        <v>525.4</v>
      </c>
      <c r="W363" s="3">
        <v>173.5</v>
      </c>
      <c r="X363" s="3">
        <v>169.2</v>
      </c>
      <c r="Y363" s="3">
        <v>182.6</v>
      </c>
      <c r="Z363" s="3">
        <f t="shared" si="34"/>
        <v>525.3</v>
      </c>
      <c r="AA363" s="3">
        <v>159.8</v>
      </c>
      <c r="AB363" s="3">
        <v>181.5</v>
      </c>
      <c r="AC363" s="3">
        <v>180.8</v>
      </c>
      <c r="AD363" s="68">
        <f t="shared" si="35"/>
        <v>362.3</v>
      </c>
      <c r="AE363" s="3">
        <v>172.5</v>
      </c>
      <c r="AF363" s="3">
        <v>168.4</v>
      </c>
      <c r="AG363" s="3">
        <v>170</v>
      </c>
      <c r="AH363" s="3">
        <v>176.3</v>
      </c>
      <c r="AI363" s="3">
        <f t="shared" si="36"/>
        <v>4766.1</v>
      </c>
    </row>
    <row r="364" spans="1:35">
      <c r="A364" s="3" t="s">
        <v>17</v>
      </c>
      <c r="B364" s="3">
        <v>2023</v>
      </c>
      <c r="C364" s="3" t="s">
        <v>26</v>
      </c>
      <c r="D364" s="3">
        <v>174.4</v>
      </c>
      <c r="E364" s="3">
        <v>207.7</v>
      </c>
      <c r="F364" s="3">
        <v>175.2</v>
      </c>
      <c r="G364" s="3">
        <v>177.3</v>
      </c>
      <c r="H364" s="3">
        <v>179.2</v>
      </c>
      <c r="I364" s="3">
        <v>169.5</v>
      </c>
      <c r="J364" s="3">
        <v>152.8</v>
      </c>
      <c r="K364" s="3">
        <v>171.1</v>
      </c>
      <c r="L364" s="3">
        <v>120</v>
      </c>
      <c r="M364" s="3">
        <v>209.7</v>
      </c>
      <c r="N364" s="3">
        <v>172.3</v>
      </c>
      <c r="O364" s="3">
        <v>193</v>
      </c>
      <c r="P364" s="3">
        <v>177</v>
      </c>
      <c r="Q364" s="68">
        <f t="shared" si="32"/>
        <v>2279.2</v>
      </c>
      <c r="R364" s="3">
        <v>199.5</v>
      </c>
      <c r="S364" s="3">
        <v>186.1</v>
      </c>
      <c r="T364" s="3">
        <v>178.7</v>
      </c>
      <c r="U364" s="3">
        <v>185.1</v>
      </c>
      <c r="V364" s="69">
        <f t="shared" si="33"/>
        <v>549.9</v>
      </c>
      <c r="W364" s="3">
        <v>173.5</v>
      </c>
      <c r="X364" s="3">
        <v>174.2</v>
      </c>
      <c r="Y364" s="3">
        <v>181.9</v>
      </c>
      <c r="Z364" s="3">
        <f t="shared" si="34"/>
        <v>529.6</v>
      </c>
      <c r="AA364" s="3">
        <v>164.2</v>
      </c>
      <c r="AB364" s="3">
        <v>181</v>
      </c>
      <c r="AC364" s="3">
        <v>184.4</v>
      </c>
      <c r="AD364" s="68">
        <f t="shared" si="35"/>
        <v>365.4</v>
      </c>
      <c r="AE364" s="3">
        <v>175</v>
      </c>
      <c r="AF364" s="3">
        <v>170.3</v>
      </c>
      <c r="AG364" s="3">
        <v>174.1</v>
      </c>
      <c r="AH364" s="3">
        <v>177.2</v>
      </c>
      <c r="AI364" s="3">
        <f t="shared" si="36"/>
        <v>4784.4</v>
      </c>
    </row>
    <row r="365" spans="1:35">
      <c r="A365" s="3" t="s">
        <v>14</v>
      </c>
      <c r="B365" s="3">
        <v>2023</v>
      </c>
      <c r="C365" s="3" t="s">
        <v>29</v>
      </c>
      <c r="D365" s="3">
        <v>173.3</v>
      </c>
      <c r="E365" s="3">
        <v>206.9</v>
      </c>
      <c r="F365" s="3">
        <v>167.9</v>
      </c>
      <c r="G365" s="3">
        <v>178.2</v>
      </c>
      <c r="H365" s="3">
        <v>178.5</v>
      </c>
      <c r="I365" s="3">
        <v>173.7</v>
      </c>
      <c r="J365" s="3">
        <v>142.8</v>
      </c>
      <c r="K365" s="3">
        <v>172.8</v>
      </c>
      <c r="L365" s="3">
        <v>120.4</v>
      </c>
      <c r="M365" s="3">
        <v>215.5</v>
      </c>
      <c r="N365" s="3">
        <v>178.2</v>
      </c>
      <c r="O365" s="3">
        <v>190.5</v>
      </c>
      <c r="P365" s="3">
        <v>175.5</v>
      </c>
      <c r="Q365" s="68">
        <f t="shared" si="32"/>
        <v>2274.2</v>
      </c>
      <c r="R365" s="3">
        <v>199.5</v>
      </c>
      <c r="S365" s="3">
        <v>190.7</v>
      </c>
      <c r="T365" s="3">
        <v>187.3</v>
      </c>
      <c r="U365" s="3">
        <v>190.2</v>
      </c>
      <c r="V365" s="69">
        <f t="shared" si="33"/>
        <v>568.2</v>
      </c>
      <c r="W365" s="75">
        <v>175.2</v>
      </c>
      <c r="X365" s="3">
        <v>179.1</v>
      </c>
      <c r="Y365" s="3">
        <v>181.5</v>
      </c>
      <c r="Z365" s="3">
        <f t="shared" si="34"/>
        <v>535.8</v>
      </c>
      <c r="AA365" s="3">
        <v>169.4</v>
      </c>
      <c r="AB365" s="3">
        <v>183.8</v>
      </c>
      <c r="AC365" s="3">
        <v>187.2</v>
      </c>
      <c r="AD365" s="68">
        <f t="shared" si="35"/>
        <v>371</v>
      </c>
      <c r="AE365" s="3">
        <v>179.4</v>
      </c>
      <c r="AF365" s="3">
        <v>173.2</v>
      </c>
      <c r="AG365" s="3">
        <v>178.9</v>
      </c>
      <c r="AH365" s="3">
        <v>178.8</v>
      </c>
      <c r="AI365" s="3">
        <f t="shared" si="36"/>
        <v>4828.4</v>
      </c>
    </row>
    <row r="366" spans="1:35">
      <c r="A366" s="3" t="s">
        <v>16</v>
      </c>
      <c r="B366" s="3">
        <v>2023</v>
      </c>
      <c r="C366" s="3" t="s">
        <v>29</v>
      </c>
      <c r="D366" s="3">
        <v>174.8</v>
      </c>
      <c r="E366" s="3">
        <v>213.7</v>
      </c>
      <c r="F366" s="3">
        <v>172.4</v>
      </c>
      <c r="G366" s="3">
        <v>178.8</v>
      </c>
      <c r="H366" s="3">
        <v>168.7</v>
      </c>
      <c r="I366" s="3">
        <v>179.2</v>
      </c>
      <c r="J366" s="3">
        <v>179.9</v>
      </c>
      <c r="K366" s="3">
        <v>174.7</v>
      </c>
      <c r="L366" s="3">
        <v>123.1</v>
      </c>
      <c r="M366" s="3">
        <v>207.8</v>
      </c>
      <c r="N366" s="3">
        <v>165.5</v>
      </c>
      <c r="O366" s="3">
        <v>197</v>
      </c>
      <c r="P366" s="3">
        <v>182.1</v>
      </c>
      <c r="Q366" s="68">
        <f t="shared" si="32"/>
        <v>2317.7</v>
      </c>
      <c r="R366" s="3">
        <v>203.5</v>
      </c>
      <c r="S366" s="3">
        <v>181</v>
      </c>
      <c r="T366" s="3">
        <v>167.7</v>
      </c>
      <c r="U366" s="3">
        <v>178.9</v>
      </c>
      <c r="V366" s="69">
        <f t="shared" si="33"/>
        <v>527.6</v>
      </c>
      <c r="W366" s="3">
        <v>175.2</v>
      </c>
      <c r="X366" s="3">
        <v>169.6</v>
      </c>
      <c r="Y366" s="3">
        <v>182.1</v>
      </c>
      <c r="Z366" s="3">
        <f t="shared" si="34"/>
        <v>526.9</v>
      </c>
      <c r="AA366" s="3">
        <v>160.1</v>
      </c>
      <c r="AB366" s="3">
        <v>184.4</v>
      </c>
      <c r="AC366" s="3">
        <v>181.5</v>
      </c>
      <c r="AD366" s="68">
        <f t="shared" si="35"/>
        <v>365.9</v>
      </c>
      <c r="AE366" s="3">
        <v>174.2</v>
      </c>
      <c r="AF366" s="3">
        <v>168.8</v>
      </c>
      <c r="AG366" s="3">
        <v>170.9</v>
      </c>
      <c r="AH366" s="3">
        <v>177.4</v>
      </c>
      <c r="AI366" s="3">
        <f t="shared" si="36"/>
        <v>4793</v>
      </c>
    </row>
    <row r="367" spans="1:35">
      <c r="A367" s="3" t="s">
        <v>17</v>
      </c>
      <c r="B367" s="3">
        <v>2023</v>
      </c>
      <c r="C367" s="3" t="s">
        <v>29</v>
      </c>
      <c r="D367" s="3">
        <v>173.8</v>
      </c>
      <c r="E367" s="3">
        <v>209.3</v>
      </c>
      <c r="F367" s="3">
        <v>169.6</v>
      </c>
      <c r="G367" s="3">
        <v>178.4</v>
      </c>
      <c r="H367" s="3">
        <v>174.9</v>
      </c>
      <c r="I367" s="3">
        <v>176.3</v>
      </c>
      <c r="J367" s="3">
        <v>155.4</v>
      </c>
      <c r="K367" s="3">
        <v>173.4</v>
      </c>
      <c r="L367" s="3">
        <v>121.3</v>
      </c>
      <c r="M367" s="3">
        <v>212.9</v>
      </c>
      <c r="N367" s="3">
        <v>172.9</v>
      </c>
      <c r="O367" s="3">
        <v>193.5</v>
      </c>
      <c r="P367" s="3">
        <v>177.9</v>
      </c>
      <c r="Q367" s="68">
        <f t="shared" si="32"/>
        <v>2289.6</v>
      </c>
      <c r="R367" s="3">
        <v>200.6</v>
      </c>
      <c r="S367" s="3">
        <v>186.9</v>
      </c>
      <c r="T367" s="3">
        <v>179.2</v>
      </c>
      <c r="U367" s="3">
        <v>185.7</v>
      </c>
      <c r="V367" s="69">
        <f t="shared" si="33"/>
        <v>551.8</v>
      </c>
      <c r="W367" s="3">
        <v>175.2</v>
      </c>
      <c r="X367" s="3">
        <v>174.6</v>
      </c>
      <c r="Y367" s="3">
        <v>181.7</v>
      </c>
      <c r="Z367" s="3">
        <f t="shared" si="34"/>
        <v>531.5</v>
      </c>
      <c r="AA367" s="3">
        <v>164.5</v>
      </c>
      <c r="AB367" s="3">
        <v>184</v>
      </c>
      <c r="AC367" s="3">
        <v>185</v>
      </c>
      <c r="AD367" s="68">
        <f t="shared" si="35"/>
        <v>369</v>
      </c>
      <c r="AE367" s="3">
        <v>176.4</v>
      </c>
      <c r="AF367" s="3">
        <v>170.7</v>
      </c>
      <c r="AG367" s="3">
        <v>175</v>
      </c>
      <c r="AH367" s="3">
        <v>178.1</v>
      </c>
      <c r="AI367" s="3">
        <f t="shared" si="36"/>
        <v>4807.2</v>
      </c>
    </row>
    <row r="368" spans="1:35">
      <c r="A368" s="3" t="s">
        <v>14</v>
      </c>
      <c r="B368" s="3">
        <v>2023</v>
      </c>
      <c r="C368" s="3" t="s">
        <v>15</v>
      </c>
      <c r="D368" s="3">
        <v>173.2</v>
      </c>
      <c r="E368" s="3">
        <v>211.5</v>
      </c>
      <c r="F368" s="3">
        <v>171</v>
      </c>
      <c r="G368" s="3">
        <v>179.6</v>
      </c>
      <c r="H368" s="3">
        <v>173.3</v>
      </c>
      <c r="I368" s="3">
        <v>169</v>
      </c>
      <c r="J368" s="3">
        <v>148.7</v>
      </c>
      <c r="K368" s="3">
        <v>174.9</v>
      </c>
      <c r="L368" s="3">
        <v>121.9</v>
      </c>
      <c r="M368" s="3">
        <v>221</v>
      </c>
      <c r="N368" s="3">
        <v>178.7</v>
      </c>
      <c r="O368" s="3">
        <v>191.1</v>
      </c>
      <c r="P368" s="3">
        <v>176.8</v>
      </c>
      <c r="Q368" s="68">
        <f t="shared" si="32"/>
        <v>2290.7</v>
      </c>
      <c r="R368" s="3">
        <v>199.9</v>
      </c>
      <c r="S368" s="3">
        <v>191.2</v>
      </c>
      <c r="T368" s="3">
        <v>187.9</v>
      </c>
      <c r="U368" s="3">
        <v>190.8</v>
      </c>
      <c r="V368" s="69">
        <f t="shared" si="33"/>
        <v>569.9</v>
      </c>
      <c r="W368" s="75">
        <v>175.6</v>
      </c>
      <c r="X368" s="3">
        <v>179.8</v>
      </c>
      <c r="Y368" s="3">
        <v>182.5</v>
      </c>
      <c r="Z368" s="3">
        <f t="shared" si="34"/>
        <v>537.9</v>
      </c>
      <c r="AA368" s="3">
        <v>169.7</v>
      </c>
      <c r="AB368" s="3">
        <v>184.9</v>
      </c>
      <c r="AC368" s="3">
        <v>187.8</v>
      </c>
      <c r="AD368" s="68">
        <f t="shared" si="35"/>
        <v>372.7</v>
      </c>
      <c r="AE368" s="3">
        <v>180.3</v>
      </c>
      <c r="AF368" s="3">
        <v>173.8</v>
      </c>
      <c r="AG368" s="3">
        <v>179.5</v>
      </c>
      <c r="AH368" s="3">
        <v>179.8</v>
      </c>
      <c r="AI368" s="3">
        <f t="shared" si="36"/>
        <v>4854.2</v>
      </c>
    </row>
    <row r="369" spans="1:35">
      <c r="A369" s="3" t="s">
        <v>16</v>
      </c>
      <c r="B369" s="3">
        <v>2023</v>
      </c>
      <c r="C369" s="3" t="s">
        <v>15</v>
      </c>
      <c r="D369" s="3">
        <v>174.7</v>
      </c>
      <c r="E369" s="3">
        <v>219.4</v>
      </c>
      <c r="F369" s="3">
        <v>176.7</v>
      </c>
      <c r="G369" s="3">
        <v>179.4</v>
      </c>
      <c r="H369" s="3">
        <v>164.4</v>
      </c>
      <c r="I369" s="3">
        <v>175.8</v>
      </c>
      <c r="J369" s="3">
        <v>185</v>
      </c>
      <c r="K369" s="3">
        <v>176.9</v>
      </c>
      <c r="L369" s="3">
        <v>124.2</v>
      </c>
      <c r="M369" s="3">
        <v>211.9</v>
      </c>
      <c r="N369" s="3">
        <v>165.9</v>
      </c>
      <c r="O369" s="3">
        <v>197.7</v>
      </c>
      <c r="P369" s="3">
        <v>183.1</v>
      </c>
      <c r="Q369" s="68">
        <f t="shared" si="32"/>
        <v>2335.1</v>
      </c>
      <c r="R369" s="3">
        <v>204.2</v>
      </c>
      <c r="S369" s="3">
        <v>181.3</v>
      </c>
      <c r="T369" s="3">
        <v>168.1</v>
      </c>
      <c r="U369" s="3">
        <v>179.3</v>
      </c>
      <c r="V369" s="69">
        <f t="shared" si="33"/>
        <v>528.7</v>
      </c>
      <c r="W369" s="3">
        <v>175.6</v>
      </c>
      <c r="X369" s="3">
        <v>170.1</v>
      </c>
      <c r="Y369" s="3">
        <v>183.4</v>
      </c>
      <c r="Z369" s="3">
        <f t="shared" si="34"/>
        <v>529.1</v>
      </c>
      <c r="AA369" s="3">
        <v>160.4</v>
      </c>
      <c r="AB369" s="3">
        <v>185.6</v>
      </c>
      <c r="AC369" s="3">
        <v>182.2</v>
      </c>
      <c r="AD369" s="68">
        <f t="shared" si="35"/>
        <v>367.8</v>
      </c>
      <c r="AE369" s="3">
        <v>174.8</v>
      </c>
      <c r="AF369" s="3">
        <v>169.2</v>
      </c>
      <c r="AG369" s="3">
        <v>171.6</v>
      </c>
      <c r="AH369" s="3">
        <v>178.2</v>
      </c>
      <c r="AI369" s="3">
        <f t="shared" si="36"/>
        <v>4819.1</v>
      </c>
    </row>
    <row r="370" spans="1:35">
      <c r="A370" s="3" t="s">
        <v>17</v>
      </c>
      <c r="B370" s="3">
        <v>2023</v>
      </c>
      <c r="C370" s="3" t="s">
        <v>15</v>
      </c>
      <c r="D370" s="3">
        <v>173.7</v>
      </c>
      <c r="E370" s="3">
        <v>214.3</v>
      </c>
      <c r="F370" s="3">
        <v>173.2</v>
      </c>
      <c r="G370" s="3">
        <v>179.5</v>
      </c>
      <c r="H370" s="3">
        <v>170</v>
      </c>
      <c r="I370" s="3">
        <v>172.2</v>
      </c>
      <c r="J370" s="3">
        <v>161</v>
      </c>
      <c r="K370" s="3">
        <v>175.6</v>
      </c>
      <c r="L370" s="3">
        <v>122.7</v>
      </c>
      <c r="M370" s="3">
        <v>218</v>
      </c>
      <c r="N370" s="3">
        <v>173.4</v>
      </c>
      <c r="O370" s="3">
        <v>194.2</v>
      </c>
      <c r="P370" s="3">
        <v>179.1</v>
      </c>
      <c r="Q370" s="68">
        <f t="shared" si="32"/>
        <v>2306.9</v>
      </c>
      <c r="R370" s="3">
        <v>201</v>
      </c>
      <c r="S370" s="3">
        <v>187.3</v>
      </c>
      <c r="T370" s="3">
        <v>179.7</v>
      </c>
      <c r="U370" s="3">
        <v>186.2</v>
      </c>
      <c r="V370" s="69">
        <f t="shared" si="33"/>
        <v>553.2</v>
      </c>
      <c r="W370" s="3">
        <v>175.6</v>
      </c>
      <c r="X370" s="3">
        <v>175.2</v>
      </c>
      <c r="Y370" s="3">
        <v>182.8</v>
      </c>
      <c r="Z370" s="3">
        <f t="shared" si="34"/>
        <v>533.6</v>
      </c>
      <c r="AA370" s="3">
        <v>164.8</v>
      </c>
      <c r="AB370" s="3">
        <v>185.2</v>
      </c>
      <c r="AC370" s="3">
        <v>185.7</v>
      </c>
      <c r="AD370" s="68">
        <f t="shared" si="35"/>
        <v>370.9</v>
      </c>
      <c r="AE370" s="3">
        <v>177.1</v>
      </c>
      <c r="AF370" s="3">
        <v>171.2</v>
      </c>
      <c r="AG370" s="3">
        <v>175.7</v>
      </c>
      <c r="AH370" s="3">
        <v>179.1</v>
      </c>
      <c r="AI370" s="3">
        <f t="shared" si="36"/>
        <v>4833.5</v>
      </c>
    </row>
  </sheetData>
  <autoFilter xmlns:etc="http://www.wps.cn/officeDocument/2017/etCustomData" ref="A1:AH37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9:W30"/>
  <sheetViews>
    <sheetView showGridLines="0" topLeftCell="J11" workbookViewId="0">
      <selection activeCell="R39" sqref="R39"/>
    </sheetView>
  </sheetViews>
  <sheetFormatPr defaultColWidth="8.88888888888889" defaultRowHeight="14.4"/>
  <cols>
    <col min="8" max="8" width="28.3333333333333" customWidth="1"/>
    <col min="9" max="9" width="12.4444444444444" customWidth="1"/>
    <col min="10" max="10" width="14.6666666666667" customWidth="1"/>
    <col min="11" max="11" width="13.7777777777778" customWidth="1"/>
    <col min="12" max="12" width="12.1111111111111" customWidth="1"/>
    <col min="13" max="13" width="7.66666666666667" customWidth="1"/>
    <col min="14" max="14" width="27.8888888888889" customWidth="1"/>
    <col min="15" max="15" width="15.8888888888889" customWidth="1"/>
    <col min="16" max="16" width="10.7777777777778" customWidth="1"/>
    <col min="17" max="17" width="13.2222222222222" customWidth="1"/>
    <col min="18" max="18" width="29.2222222222222" customWidth="1"/>
    <col min="19" max="19" width="11" customWidth="1"/>
    <col min="20" max="20" width="10.1111111111111" customWidth="1"/>
    <col min="21" max="21" width="26.6666666666667" customWidth="1"/>
    <col min="22" max="22" width="14" customWidth="1"/>
    <col min="23" max="23" width="13.5555555555556" customWidth="1"/>
  </cols>
  <sheetData>
    <row r="9" spans="8:23">
      <c r="H9" s="63" t="s">
        <v>59</v>
      </c>
      <c r="I9" s="63" t="s">
        <v>15</v>
      </c>
      <c r="J9" s="65" t="s">
        <v>60</v>
      </c>
      <c r="M9" s="66" t="s">
        <v>3</v>
      </c>
      <c r="N9" s="67" t="s">
        <v>4</v>
      </c>
      <c r="O9" s="67" t="s">
        <v>5</v>
      </c>
      <c r="P9" s="67" t="s">
        <v>6</v>
      </c>
      <c r="Q9" s="67" t="s">
        <v>7</v>
      </c>
      <c r="R9" s="67" t="s">
        <v>8</v>
      </c>
      <c r="S9" s="67" t="s">
        <v>9</v>
      </c>
      <c r="T9" s="67" t="s">
        <v>10</v>
      </c>
      <c r="U9" s="67" t="s">
        <v>11</v>
      </c>
      <c r="V9" s="67" t="s">
        <v>12</v>
      </c>
      <c r="W9" s="67" t="s">
        <v>13</v>
      </c>
    </row>
    <row r="10" spans="8:23">
      <c r="H10" s="64" t="s">
        <v>3</v>
      </c>
      <c r="I10" s="3">
        <v>6932.7</v>
      </c>
      <c r="J10" s="56">
        <f>(I10/$I$21)*100</f>
        <v>47.7893125982298</v>
      </c>
      <c r="L10" s="67" t="s">
        <v>14</v>
      </c>
      <c r="M10" s="68">
        <v>2290.7</v>
      </c>
      <c r="N10" s="3">
        <v>199.9</v>
      </c>
      <c r="O10" s="69">
        <v>569.9</v>
      </c>
      <c r="P10" s="69">
        <v>355.4</v>
      </c>
      <c r="Q10" s="3">
        <v>182.5</v>
      </c>
      <c r="R10" s="3">
        <v>169.7</v>
      </c>
      <c r="S10" s="68">
        <v>372.7</v>
      </c>
      <c r="T10" s="3">
        <v>180.3</v>
      </c>
      <c r="U10" s="3">
        <v>173.8</v>
      </c>
      <c r="V10" s="3">
        <v>179.5</v>
      </c>
      <c r="W10" s="3">
        <v>179.8</v>
      </c>
    </row>
    <row r="11" spans="8:23">
      <c r="H11" s="42" t="s">
        <v>4</v>
      </c>
      <c r="I11" s="3">
        <v>605.1</v>
      </c>
      <c r="J11" s="56">
        <f t="shared" ref="J11:J20" si="0">(I11/$I$21)*100</f>
        <v>4.17114732401357</v>
      </c>
      <c r="L11" s="67" t="s">
        <v>16</v>
      </c>
      <c r="M11" s="68">
        <v>2335.1</v>
      </c>
      <c r="N11" s="3">
        <v>204.2</v>
      </c>
      <c r="O11" s="69">
        <v>528.7</v>
      </c>
      <c r="P11" s="69">
        <v>345.7</v>
      </c>
      <c r="Q11" s="3">
        <v>183.4</v>
      </c>
      <c r="R11" s="3">
        <v>160.4</v>
      </c>
      <c r="S11" s="68">
        <v>367.8</v>
      </c>
      <c r="T11" s="3">
        <v>174.8</v>
      </c>
      <c r="U11" s="3">
        <v>169.2</v>
      </c>
      <c r="V11" s="3">
        <v>171.6</v>
      </c>
      <c r="W11" s="3">
        <v>178.2</v>
      </c>
    </row>
    <row r="12" spans="8:23">
      <c r="H12" s="42" t="s">
        <v>5</v>
      </c>
      <c r="I12" s="3">
        <v>1651.8</v>
      </c>
      <c r="J12" s="56">
        <f t="shared" si="0"/>
        <v>11.3863843163206</v>
      </c>
      <c r="L12" s="67" t="s">
        <v>17</v>
      </c>
      <c r="M12" s="68">
        <v>2306.9</v>
      </c>
      <c r="N12" s="3">
        <v>201</v>
      </c>
      <c r="O12" s="69">
        <v>553.2</v>
      </c>
      <c r="P12" s="69">
        <v>350.8</v>
      </c>
      <c r="Q12" s="3">
        <v>182.8</v>
      </c>
      <c r="R12" s="3">
        <v>164.8</v>
      </c>
      <c r="S12" s="68">
        <v>370.9</v>
      </c>
      <c r="T12" s="3">
        <v>177.1</v>
      </c>
      <c r="U12" s="3">
        <v>171.2</v>
      </c>
      <c r="V12" s="3">
        <v>175.7</v>
      </c>
      <c r="W12" s="3">
        <v>179.1</v>
      </c>
    </row>
    <row r="13" spans="8:12">
      <c r="H13" s="42" t="s">
        <v>6</v>
      </c>
      <c r="I13" s="3">
        <v>1051.9</v>
      </c>
      <c r="J13" s="56">
        <f t="shared" si="0"/>
        <v>7.25108225108225</v>
      </c>
      <c r="L13" s="70"/>
    </row>
    <row r="14" spans="8:10">
      <c r="H14" s="42" t="s">
        <v>7</v>
      </c>
      <c r="I14" s="3">
        <v>548.7</v>
      </c>
      <c r="J14" s="56">
        <f t="shared" si="0"/>
        <v>3.7823641326826</v>
      </c>
    </row>
    <row r="15" spans="8:10">
      <c r="H15" s="42" t="s">
        <v>8</v>
      </c>
      <c r="I15" s="3">
        <v>494.9</v>
      </c>
      <c r="J15" s="56">
        <f t="shared" si="0"/>
        <v>3.41150357073924</v>
      </c>
    </row>
    <row r="16" spans="8:23">
      <c r="H16" s="42" t="s">
        <v>9</v>
      </c>
      <c r="I16" s="3">
        <v>1111.4</v>
      </c>
      <c r="J16" s="56">
        <f t="shared" si="0"/>
        <v>7.66123473129842</v>
      </c>
      <c r="M16" s="66" t="s">
        <v>3</v>
      </c>
      <c r="N16" s="67" t="s">
        <v>4</v>
      </c>
      <c r="O16" s="67" t="s">
        <v>5</v>
      </c>
      <c r="P16" s="67" t="s">
        <v>6</v>
      </c>
      <c r="Q16" s="67" t="s">
        <v>7</v>
      </c>
      <c r="R16" s="67" t="s">
        <v>8</v>
      </c>
      <c r="S16" s="67" t="s">
        <v>9</v>
      </c>
      <c r="T16" s="67" t="s">
        <v>10</v>
      </c>
      <c r="U16" s="67" t="s">
        <v>11</v>
      </c>
      <c r="V16" s="67" t="s">
        <v>12</v>
      </c>
      <c r="W16" s="67" t="s">
        <v>13</v>
      </c>
    </row>
    <row r="17" spans="8:23">
      <c r="H17" s="42" t="s">
        <v>10</v>
      </c>
      <c r="I17" s="3">
        <v>532.2</v>
      </c>
      <c r="J17" s="56">
        <f t="shared" si="0"/>
        <v>3.66862436926131</v>
      </c>
      <c r="L17" s="67" t="s">
        <v>14</v>
      </c>
      <c r="M17" s="35">
        <f>(M10)/(SUM($M10:$W10))</f>
        <v>0.471900622141651</v>
      </c>
      <c r="N17" s="35">
        <f>(N10)/(SUM(M10:W10))</f>
        <v>0.0411808330929916</v>
      </c>
      <c r="O17" s="35">
        <f>(O10)/(SUM(M10:W10))</f>
        <v>0.1174034856413</v>
      </c>
      <c r="P17" s="35">
        <f>(P10)/(SUM(M10:W10))</f>
        <v>0.0732149478801862</v>
      </c>
      <c r="Q17" s="35">
        <f>(Q10)/(SUM(M10:W10))</f>
        <v>0.0375963083515306</v>
      </c>
      <c r="R17" s="35">
        <f>(R10)/(SUM(M10:W10))</f>
        <v>0.0349594165876972</v>
      </c>
      <c r="S17" s="35">
        <f>(S10)/(SUM(M10:W10))</f>
        <v>0.0767788719047423</v>
      </c>
      <c r="T17" s="35">
        <f>(T10)/(SUM(M10:W10))</f>
        <v>0.0371430925796218</v>
      </c>
      <c r="U17" s="35">
        <f>(U10)/(SUM(M10:W10))</f>
        <v>0.0358040459808001</v>
      </c>
      <c r="V17" s="35">
        <f>(V10)/(SUM(M10:W10))</f>
        <v>0.0369782868443822</v>
      </c>
      <c r="W17" s="35">
        <f>(W10)/(SUM(M10:W10))</f>
        <v>0.037040088995097</v>
      </c>
    </row>
    <row r="18" spans="8:23">
      <c r="H18" s="42" t="s">
        <v>11</v>
      </c>
      <c r="I18" s="3">
        <v>514.2</v>
      </c>
      <c r="J18" s="56">
        <f t="shared" si="0"/>
        <v>3.54454462734717</v>
      </c>
      <c r="L18" s="67" t="s">
        <v>16</v>
      </c>
      <c r="M18" s="35">
        <f>($M11)/(SUM(M11:W11))</f>
        <v>0.484551057251354</v>
      </c>
      <c r="N18" s="35">
        <f>(N11)/(SUM(M11:W11))</f>
        <v>0.0423730572098525</v>
      </c>
      <c r="O18" s="35">
        <f>(O11)/(SUM(M11:W11))</f>
        <v>0.109709281816107</v>
      </c>
      <c r="P18" s="35">
        <f>(P11)/(SUM(M11:W11))</f>
        <v>0.0717353862754456</v>
      </c>
      <c r="Q18" s="35">
        <f>(Q11)/(SUM(M11:W11))</f>
        <v>0.0380568985910232</v>
      </c>
      <c r="R18" s="35">
        <f>(R11)/(SUM(M11:W11))</f>
        <v>0.0332842231952024</v>
      </c>
      <c r="S18" s="35">
        <f>(S11)/(SUM(M11:W11))</f>
        <v>0.0763213048079517</v>
      </c>
      <c r="T18" s="35">
        <f>(T11)/(SUM(M11:W11))</f>
        <v>0.0362723330082381</v>
      </c>
      <c r="U18" s="35">
        <f>(U11)/(SUM(M11:W11))</f>
        <v>0.0351102903031686</v>
      </c>
      <c r="V18" s="35">
        <f>(V11)/(SUM(M11:W11))</f>
        <v>0.0356083086053412</v>
      </c>
      <c r="W18" s="35">
        <f>(W11)/(SUM(M11:W11))</f>
        <v>0.0369778589363159</v>
      </c>
    </row>
    <row r="19" spans="8:23">
      <c r="H19" s="42" t="s">
        <v>12</v>
      </c>
      <c r="I19" s="3">
        <v>526.8</v>
      </c>
      <c r="J19" s="56">
        <f t="shared" si="0"/>
        <v>3.63140044668707</v>
      </c>
      <c r="L19" s="67" t="s">
        <v>17</v>
      </c>
      <c r="M19" s="35">
        <f>($M12)/(SUM(M12:W12))</f>
        <v>0.477273197475949</v>
      </c>
      <c r="N19" s="35">
        <f>(N12)/(SUM(M12:W12))</f>
        <v>0.0415847729388642</v>
      </c>
      <c r="O19" s="35">
        <f>(O12)/(SUM(M12:W12))</f>
        <v>0.114451225819799</v>
      </c>
      <c r="P19" s="35">
        <f>(P12)/(SUM(M12:W12))</f>
        <v>0.0725768076962863</v>
      </c>
      <c r="Q19" s="35">
        <f>(Q12)/(SUM(M12:W12))</f>
        <v>0.0378193855384297</v>
      </c>
      <c r="R19" s="35">
        <f>(R12)/(SUM(M12:W12))</f>
        <v>0.0340953760215165</v>
      </c>
      <c r="S19" s="35">
        <f>(S12)/(SUM(M12:W12))</f>
        <v>0.0767352849901727</v>
      </c>
      <c r="T19" s="35">
        <f>(T12)/(SUM(M12:W12))</f>
        <v>0.0366401158580738</v>
      </c>
      <c r="U19" s="35">
        <f>(U12)/(SUM(M12:W12))</f>
        <v>0.0354194682941967</v>
      </c>
      <c r="V19" s="35">
        <f>(V12)/(SUM(M12:W12))</f>
        <v>0.036350470673425</v>
      </c>
      <c r="W19" s="35">
        <f>(W12)/(SUM(M12:W12))</f>
        <v>0.0370538946932864</v>
      </c>
    </row>
    <row r="20" spans="8:10">
      <c r="H20" s="42" t="s">
        <v>13</v>
      </c>
      <c r="I20" s="3">
        <v>537.1</v>
      </c>
      <c r="J20" s="56">
        <f t="shared" si="0"/>
        <v>3.70240163233794</v>
      </c>
    </row>
    <row r="21" spans="8:10">
      <c r="H21" s="63" t="s">
        <v>61</v>
      </c>
      <c r="I21" s="71">
        <f>SUM(I10:I20)</f>
        <v>14506.8</v>
      </c>
      <c r="J21" s="72">
        <v>1</v>
      </c>
    </row>
    <row r="30" spans="18:18">
      <c r="R30" s="10"/>
    </row>
  </sheetData>
  <conditionalFormatting sqref="M10:W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W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O132"/>
  <sheetViews>
    <sheetView showGridLines="0" zoomScale="83" zoomScaleNormal="83" topLeftCell="A42" workbookViewId="0">
      <selection activeCell="I46" sqref="I46"/>
    </sheetView>
  </sheetViews>
  <sheetFormatPr defaultColWidth="8.88888888888889" defaultRowHeight="14.4"/>
  <cols>
    <col min="1" max="1" width="12.1111111111111" customWidth="1"/>
    <col min="2" max="2" width="5.66666666666667" customWidth="1"/>
    <col min="3" max="3" width="10.5555555555556" customWidth="1"/>
    <col min="4" max="4" width="10.1111111111111" customWidth="1"/>
    <col min="5" max="5" width="12.8888888888889"/>
    <col min="8" max="8" width="11" customWidth="1"/>
    <col min="9" max="9" width="15.5555555555556" customWidth="1"/>
    <col min="10" max="11" width="10.4444444444444" customWidth="1"/>
    <col min="12" max="15" width="12.8888888888889" customWidth="1"/>
  </cols>
  <sheetData>
    <row r="9" ht="16" customHeight="1" spans="1:5">
      <c r="A9" s="31" t="s">
        <v>0</v>
      </c>
      <c r="B9" s="31" t="s">
        <v>1</v>
      </c>
      <c r="C9" s="31" t="s">
        <v>2</v>
      </c>
      <c r="D9" s="31" t="s">
        <v>58</v>
      </c>
      <c r="E9" s="2" t="s">
        <v>62</v>
      </c>
    </row>
    <row r="10" ht="16" customHeight="1" spans="1:5">
      <c r="A10" s="46" t="s">
        <v>17</v>
      </c>
      <c r="B10" s="46">
        <v>2013</v>
      </c>
      <c r="C10" s="46" t="s">
        <v>19</v>
      </c>
      <c r="D10" s="46">
        <v>2833.9</v>
      </c>
      <c r="E10" s="46">
        <f>ROUND(((D22-D10)/D10)*100,2)</f>
        <v>7.82</v>
      </c>
    </row>
    <row r="11" ht="16" customHeight="1" spans="1:5">
      <c r="A11" s="46" t="s">
        <v>17</v>
      </c>
      <c r="B11" s="46">
        <v>2013</v>
      </c>
      <c r="C11" s="46" t="s">
        <v>20</v>
      </c>
      <c r="D11" s="46">
        <v>2851.6</v>
      </c>
      <c r="E11" s="46">
        <f>ROUND(((D23-D11)/D11)*100,2)</f>
        <v>7.13</v>
      </c>
    </row>
    <row r="12" ht="16" customHeight="1" spans="1:5">
      <c r="A12" s="46" t="s">
        <v>17</v>
      </c>
      <c r="B12" s="46">
        <v>2013</v>
      </c>
      <c r="C12" s="46" t="s">
        <v>26</v>
      </c>
      <c r="D12" s="46">
        <v>2856.1</v>
      </c>
      <c r="E12" s="46">
        <f>ROUND(((D24-D12)/D12)*100,2)</f>
        <v>7.45</v>
      </c>
    </row>
    <row r="13" ht="16" customHeight="1" spans="1:5">
      <c r="A13" s="46" t="s">
        <v>17</v>
      </c>
      <c r="B13" s="46">
        <v>2013</v>
      </c>
      <c r="C13" s="46" t="s">
        <v>29</v>
      </c>
      <c r="D13" s="46">
        <v>2866.9</v>
      </c>
      <c r="E13" s="46">
        <f t="shared" ref="E13:E76" si="0">ROUND(((D25-D13)/D13)*100,2)</f>
        <v>7.82</v>
      </c>
    </row>
    <row r="14" ht="16" customHeight="1" spans="1:5">
      <c r="A14" s="46" t="s">
        <v>17</v>
      </c>
      <c r="B14" s="46">
        <v>2013</v>
      </c>
      <c r="C14" s="46" t="s">
        <v>15</v>
      </c>
      <c r="D14" s="46">
        <v>2884.5</v>
      </c>
      <c r="E14" s="46">
        <f t="shared" si="0"/>
        <v>7.85</v>
      </c>
    </row>
    <row r="15" ht="16" customHeight="1" spans="1:5">
      <c r="A15" s="46" t="s">
        <v>17</v>
      </c>
      <c r="B15" s="46">
        <v>2013</v>
      </c>
      <c r="C15" s="46" t="s">
        <v>30</v>
      </c>
      <c r="D15" s="46">
        <v>2937.1</v>
      </c>
      <c r="E15" s="46">
        <f t="shared" si="0"/>
        <v>6.69</v>
      </c>
    </row>
    <row r="16" ht="16" customHeight="1" spans="1:5">
      <c r="A16" s="46" t="s">
        <v>17</v>
      </c>
      <c r="B16" s="46">
        <v>2013</v>
      </c>
      <c r="C16" s="46" t="s">
        <v>31</v>
      </c>
      <c r="D16" s="46">
        <v>2975.8</v>
      </c>
      <c r="E16" s="46">
        <f t="shared" si="0"/>
        <v>7.21</v>
      </c>
    </row>
    <row r="17" ht="16" customHeight="1" spans="1:5">
      <c r="A17" s="46" t="s">
        <v>17</v>
      </c>
      <c r="B17" s="46">
        <v>2013</v>
      </c>
      <c r="C17" s="46" t="s">
        <v>32</v>
      </c>
      <c r="D17" s="46">
        <v>3004.7</v>
      </c>
      <c r="E17" s="46">
        <f t="shared" si="0"/>
        <v>7.05</v>
      </c>
    </row>
    <row r="18" ht="16" customHeight="1" spans="1:5">
      <c r="A18" s="46" t="s">
        <v>17</v>
      </c>
      <c r="B18" s="46">
        <v>2013</v>
      </c>
      <c r="C18" s="46" t="s">
        <v>33</v>
      </c>
      <c r="D18" s="46">
        <v>3033.6</v>
      </c>
      <c r="E18" s="46">
        <f t="shared" si="0"/>
        <v>5.88</v>
      </c>
    </row>
    <row r="19" ht="16" customHeight="1" spans="1:5">
      <c r="A19" s="46" t="s">
        <v>17</v>
      </c>
      <c r="B19" s="46">
        <v>2013</v>
      </c>
      <c r="C19" s="46" t="s">
        <v>34</v>
      </c>
      <c r="D19" s="46">
        <v>3060</v>
      </c>
      <c r="E19" s="46">
        <f t="shared" si="0"/>
        <v>5.04</v>
      </c>
    </row>
    <row r="20" ht="16" customHeight="1" spans="1:5">
      <c r="A20" s="46" t="s">
        <v>17</v>
      </c>
      <c r="B20" s="46">
        <v>2013</v>
      </c>
      <c r="C20" s="46" t="s">
        <v>36</v>
      </c>
      <c r="D20" s="46">
        <v>3098.3</v>
      </c>
      <c r="E20" s="46">
        <f t="shared" si="0"/>
        <v>3.88</v>
      </c>
    </row>
    <row r="21" ht="16" customHeight="1" spans="1:5">
      <c r="A21" s="46" t="s">
        <v>17</v>
      </c>
      <c r="B21" s="46">
        <v>2013</v>
      </c>
      <c r="C21" s="46" t="s">
        <v>37</v>
      </c>
      <c r="D21" s="46">
        <v>3070.7</v>
      </c>
      <c r="E21" s="46">
        <f t="shared" si="0"/>
        <v>4.51</v>
      </c>
    </row>
    <row r="22" ht="16" customHeight="1" spans="1:5">
      <c r="A22" s="47" t="s">
        <v>17</v>
      </c>
      <c r="B22" s="47">
        <v>2014</v>
      </c>
      <c r="C22" s="47" t="s">
        <v>19</v>
      </c>
      <c r="D22" s="47">
        <v>3055.5</v>
      </c>
      <c r="E22" s="47">
        <f t="shared" si="0"/>
        <v>5.16</v>
      </c>
    </row>
    <row r="23" ht="16" customHeight="1" spans="1:5">
      <c r="A23" s="47" t="s">
        <v>17</v>
      </c>
      <c r="B23" s="47">
        <v>2014</v>
      </c>
      <c r="C23" s="47" t="s">
        <v>20</v>
      </c>
      <c r="D23" s="47">
        <v>3055</v>
      </c>
      <c r="E23" s="47">
        <f t="shared" si="0"/>
        <v>5.43</v>
      </c>
    </row>
    <row r="24" ht="16" customHeight="1" spans="1:5">
      <c r="A24" s="47" t="s">
        <v>17</v>
      </c>
      <c r="B24" s="47">
        <v>2014</v>
      </c>
      <c r="C24" s="47" t="s">
        <v>26</v>
      </c>
      <c r="D24" s="47">
        <v>3069</v>
      </c>
      <c r="E24" s="47">
        <f t="shared" si="0"/>
        <v>5.16</v>
      </c>
    </row>
    <row r="25" ht="16" customHeight="1" spans="1:5">
      <c r="A25" s="47" t="s">
        <v>17</v>
      </c>
      <c r="B25" s="47">
        <v>2014</v>
      </c>
      <c r="C25" s="47" t="s">
        <v>29</v>
      </c>
      <c r="D25" s="47">
        <v>3091</v>
      </c>
      <c r="E25" s="47">
        <f t="shared" si="0"/>
        <v>4.87</v>
      </c>
    </row>
    <row r="26" ht="16" customHeight="1" spans="1:5">
      <c r="A26" s="47" t="s">
        <v>17</v>
      </c>
      <c r="B26" s="47">
        <v>2014</v>
      </c>
      <c r="C26" s="47" t="s">
        <v>15</v>
      </c>
      <c r="D26" s="47">
        <v>3111</v>
      </c>
      <c r="E26" s="47">
        <f t="shared" si="0"/>
        <v>4.99</v>
      </c>
    </row>
    <row r="27" ht="16" customHeight="1" spans="1:5">
      <c r="A27" s="47" t="s">
        <v>17</v>
      </c>
      <c r="B27" s="47">
        <v>2014</v>
      </c>
      <c r="C27" s="47" t="s">
        <v>30</v>
      </c>
      <c r="D27" s="47">
        <v>3133.7</v>
      </c>
      <c r="E27" s="47">
        <f t="shared" si="0"/>
        <v>5.65</v>
      </c>
    </row>
    <row r="28" ht="16" customHeight="1" spans="1:15">
      <c r="A28" s="47" t="s">
        <v>17</v>
      </c>
      <c r="B28" s="47">
        <v>2014</v>
      </c>
      <c r="C28" s="47" t="s">
        <v>31</v>
      </c>
      <c r="D28" s="47">
        <v>3190.4</v>
      </c>
      <c r="E28" s="47">
        <f t="shared" si="0"/>
        <v>4.18</v>
      </c>
      <c r="H28" s="48"/>
      <c r="I28" s="48" t="s">
        <v>63</v>
      </c>
      <c r="J28" s="48" t="s">
        <v>64</v>
      </c>
      <c r="K28" s="48" t="s">
        <v>65</v>
      </c>
      <c r="L28" s="48" t="s">
        <v>66</v>
      </c>
      <c r="M28" s="48" t="s">
        <v>67</v>
      </c>
      <c r="N28" s="48" t="s">
        <v>68</v>
      </c>
      <c r="O28" s="48" t="s">
        <v>69</v>
      </c>
    </row>
    <row r="29" ht="16" customHeight="1" spans="1:15">
      <c r="A29" s="47" t="s">
        <v>17</v>
      </c>
      <c r="B29" s="47">
        <v>2014</v>
      </c>
      <c r="C29" s="47" t="s">
        <v>32</v>
      </c>
      <c r="D29" s="47">
        <v>3216.5</v>
      </c>
      <c r="E29" s="47">
        <f t="shared" si="0"/>
        <v>4.13</v>
      </c>
      <c r="H29" s="48" t="s">
        <v>19</v>
      </c>
      <c r="I29" s="54">
        <v>3537.3</v>
      </c>
      <c r="J29" s="54">
        <v>3682.4</v>
      </c>
      <c r="K29" s="54">
        <v>3745</v>
      </c>
      <c r="L29" s="54">
        <v>4012.4</v>
      </c>
      <c r="M29" s="54">
        <v>4250.4</v>
      </c>
      <c r="N29" s="54">
        <v>4490.5</v>
      </c>
      <c r="O29" s="54">
        <v>4726.74</v>
      </c>
    </row>
    <row r="30" ht="16" customHeight="1" spans="1:15">
      <c r="A30" s="47" t="s">
        <v>17</v>
      </c>
      <c r="B30" s="47">
        <v>2014</v>
      </c>
      <c r="C30" s="47" t="s">
        <v>33</v>
      </c>
      <c r="D30" s="47">
        <v>3212.1</v>
      </c>
      <c r="E30" s="47">
        <f t="shared" si="0"/>
        <v>4.75</v>
      </c>
      <c r="H30" s="48" t="s">
        <v>20</v>
      </c>
      <c r="I30" s="54">
        <v>3538.6</v>
      </c>
      <c r="J30" s="54">
        <v>3667.1</v>
      </c>
      <c r="K30" s="54">
        <v>3753.3</v>
      </c>
      <c r="L30" s="54">
        <v>3989.6</v>
      </c>
      <c r="M30" s="54">
        <v>4234.3</v>
      </c>
      <c r="N30" s="54">
        <v>4500.4</v>
      </c>
      <c r="O30" s="54">
        <v>4784.6</v>
      </c>
    </row>
    <row r="31" ht="16" customHeight="1" spans="1:15">
      <c r="A31" s="47" t="s">
        <v>17</v>
      </c>
      <c r="B31" s="47">
        <v>2014</v>
      </c>
      <c r="C31" s="47" t="s">
        <v>34</v>
      </c>
      <c r="D31" s="47">
        <v>3214.3</v>
      </c>
      <c r="E31" s="47">
        <f t="shared" si="0"/>
        <v>5.53</v>
      </c>
      <c r="H31" s="48" t="s">
        <v>26</v>
      </c>
      <c r="I31" s="54">
        <v>3541.4</v>
      </c>
      <c r="J31" s="54">
        <v>3670.5</v>
      </c>
      <c r="K31" s="54">
        <v>3763.7</v>
      </c>
      <c r="L31" s="54">
        <v>3978.9</v>
      </c>
      <c r="M31" s="54">
        <v>4241.3</v>
      </c>
      <c r="N31" s="54">
        <v>4478.24</v>
      </c>
      <c r="O31" s="54">
        <v>4784.4</v>
      </c>
    </row>
    <row r="32" ht="16" customHeight="1" spans="1:15">
      <c r="A32" s="47" t="s">
        <v>17</v>
      </c>
      <c r="B32" s="47">
        <v>2014</v>
      </c>
      <c r="C32" s="47" t="s">
        <v>36</v>
      </c>
      <c r="D32" s="47">
        <v>3218.6</v>
      </c>
      <c r="E32" s="47">
        <f t="shared" si="0"/>
        <v>6.02</v>
      </c>
      <c r="H32" s="48" t="s">
        <v>29</v>
      </c>
      <c r="I32" s="54">
        <v>3545.4</v>
      </c>
      <c r="J32" s="54">
        <v>3683.4</v>
      </c>
      <c r="K32" s="54"/>
      <c r="L32" s="54">
        <v>4070.16</v>
      </c>
      <c r="M32" s="54">
        <v>4276.3</v>
      </c>
      <c r="N32" s="54">
        <v>4530.84</v>
      </c>
      <c r="O32" s="54">
        <f>ROUND(4738.83663978495,2)</f>
        <v>4738.84</v>
      </c>
    </row>
    <row r="33" ht="16" customHeight="1" spans="1:15">
      <c r="A33" s="47" t="s">
        <v>17</v>
      </c>
      <c r="B33" s="47">
        <v>2014</v>
      </c>
      <c r="C33" s="47" t="s">
        <v>37</v>
      </c>
      <c r="D33" s="47">
        <v>3209.2</v>
      </c>
      <c r="E33" s="47">
        <f t="shared" si="0"/>
        <v>6.22</v>
      </c>
      <c r="H33" s="48" t="s">
        <v>15</v>
      </c>
      <c r="I33" s="54">
        <v>3550.3</v>
      </c>
      <c r="J33" s="54">
        <v>3695.9</v>
      </c>
      <c r="K33" s="54">
        <v>3802.4</v>
      </c>
      <c r="L33" s="54">
        <v>3762.43</v>
      </c>
      <c r="M33" s="54">
        <v>4355.1</v>
      </c>
      <c r="N33" s="54">
        <v>4567.04</v>
      </c>
      <c r="O33" s="54">
        <v>4760.03</v>
      </c>
    </row>
    <row r="34" ht="16" customHeight="1" spans="1:15">
      <c r="A34" s="49" t="s">
        <v>17</v>
      </c>
      <c r="B34" s="49">
        <v>2015</v>
      </c>
      <c r="C34" s="49" t="s">
        <v>19</v>
      </c>
      <c r="D34" s="49">
        <v>3213.2</v>
      </c>
      <c r="E34" s="49">
        <f t="shared" si="0"/>
        <v>6.45</v>
      </c>
      <c r="H34" s="48" t="s">
        <v>30</v>
      </c>
      <c r="I34" s="54">
        <v>3527.3</v>
      </c>
      <c r="J34" s="54">
        <v>3567.5</v>
      </c>
      <c r="K34" s="54">
        <v>3717.1</v>
      </c>
      <c r="L34" s="54">
        <v>3829.7</v>
      </c>
      <c r="M34" s="54">
        <v>4086.1</v>
      </c>
      <c r="N34" s="54">
        <v>4385.8</v>
      </c>
      <c r="O34" s="54">
        <v>4600.44</v>
      </c>
    </row>
    <row r="35" ht="16" customHeight="1" spans="1:15">
      <c r="A35" s="49" t="s">
        <v>17</v>
      </c>
      <c r="B35" s="49">
        <v>2015</v>
      </c>
      <c r="C35" s="49" t="s">
        <v>20</v>
      </c>
      <c r="D35" s="49">
        <v>3220.9</v>
      </c>
      <c r="E35" s="49">
        <f t="shared" si="0"/>
        <v>6.04</v>
      </c>
      <c r="H35" s="48" t="s">
        <v>31</v>
      </c>
      <c r="I35" s="54">
        <v>3558.4</v>
      </c>
      <c r="J35" s="54">
        <v>3613.7</v>
      </c>
      <c r="K35" s="54">
        <v>3747</v>
      </c>
      <c r="L35" s="54">
        <v>3861.2</v>
      </c>
      <c r="M35" s="54">
        <v>4086.1</v>
      </c>
      <c r="N35" s="54">
        <v>4413.7</v>
      </c>
      <c r="O35" s="54">
        <v>4625.84</v>
      </c>
    </row>
    <row r="36" ht="16" customHeight="1" spans="1:15">
      <c r="A36" s="49" t="s">
        <v>17</v>
      </c>
      <c r="B36" s="49">
        <v>2015</v>
      </c>
      <c r="C36" s="49" t="s">
        <v>26</v>
      </c>
      <c r="D36" s="49">
        <v>3227.4</v>
      </c>
      <c r="E36" s="49">
        <f t="shared" si="0"/>
        <v>5.84</v>
      </c>
      <c r="H36" s="48" t="s">
        <v>32</v>
      </c>
      <c r="I36" s="54">
        <v>3558.9</v>
      </c>
      <c r="J36" s="54">
        <v>3642.3</v>
      </c>
      <c r="K36" s="54">
        <v>3759.7</v>
      </c>
      <c r="L36" s="54">
        <v>3878.2</v>
      </c>
      <c r="M36" s="54">
        <v>4128.1</v>
      </c>
      <c r="N36" s="54">
        <v>4370.44</v>
      </c>
      <c r="O36" s="54">
        <v>4643.44</v>
      </c>
    </row>
    <row r="37" ht="16" customHeight="1" spans="1:15">
      <c r="A37" s="49" t="s">
        <v>17</v>
      </c>
      <c r="B37" s="49">
        <v>2015</v>
      </c>
      <c r="C37" s="49" t="s">
        <v>29</v>
      </c>
      <c r="D37" s="49">
        <v>3241.4</v>
      </c>
      <c r="E37" s="49">
        <f t="shared" si="0"/>
        <v>6.45</v>
      </c>
      <c r="H37" s="48" t="s">
        <v>33</v>
      </c>
      <c r="I37" s="54">
        <v>3551.8</v>
      </c>
      <c r="J37" s="54">
        <v>3637.9</v>
      </c>
      <c r="K37" s="54">
        <v>3750.2</v>
      </c>
      <c r="L37" s="54">
        <v>3895.7</v>
      </c>
      <c r="M37" s="54">
        <v>4151.4</v>
      </c>
      <c r="N37" s="54">
        <v>4370.64</v>
      </c>
      <c r="O37" s="54">
        <v>4670.54</v>
      </c>
    </row>
    <row r="38" ht="16" customHeight="1" spans="1:15">
      <c r="A38" s="49" t="s">
        <v>17</v>
      </c>
      <c r="B38" s="49">
        <v>2015</v>
      </c>
      <c r="C38" s="49" t="s">
        <v>15</v>
      </c>
      <c r="D38" s="49">
        <v>3266.1</v>
      </c>
      <c r="E38" s="49">
        <f t="shared" si="0"/>
        <v>6.8</v>
      </c>
      <c r="H38" s="48" t="s">
        <v>34</v>
      </c>
      <c r="I38" s="54">
        <v>3563.2</v>
      </c>
      <c r="J38" s="54">
        <v>3656.7</v>
      </c>
      <c r="K38" s="54">
        <v>3768.2</v>
      </c>
      <c r="L38" s="54">
        <v>3930.7</v>
      </c>
      <c r="M38" s="54">
        <v>4197.5</v>
      </c>
      <c r="N38" s="54">
        <v>4416.84</v>
      </c>
      <c r="O38" s="54">
        <v>4702.04</v>
      </c>
    </row>
    <row r="39" ht="16" customHeight="1" spans="1:15">
      <c r="A39" s="49" t="s">
        <v>17</v>
      </c>
      <c r="B39" s="49">
        <v>2015</v>
      </c>
      <c r="C39" s="49" t="s">
        <v>30</v>
      </c>
      <c r="D39" s="49">
        <v>3310.9</v>
      </c>
      <c r="E39" s="49">
        <f t="shared" si="0"/>
        <v>6.54</v>
      </c>
      <c r="H39" s="48" t="s">
        <v>36</v>
      </c>
      <c r="I39" s="54">
        <v>3561.1</v>
      </c>
      <c r="J39" s="54">
        <v>3700.5</v>
      </c>
      <c r="K39" s="54">
        <v>3767.3</v>
      </c>
      <c r="L39" s="54">
        <v>3963.7</v>
      </c>
      <c r="M39" s="54">
        <v>4179.44</v>
      </c>
      <c r="N39" s="54">
        <v>4445.94</v>
      </c>
      <c r="O39" s="54">
        <v>4709.04</v>
      </c>
    </row>
    <row r="40" ht="16" customHeight="1" spans="1:15">
      <c r="A40" s="49" t="s">
        <v>17</v>
      </c>
      <c r="B40" s="49">
        <v>2015</v>
      </c>
      <c r="C40" s="49" t="s">
        <v>31</v>
      </c>
      <c r="D40" s="49">
        <v>3323.8</v>
      </c>
      <c r="E40" s="49">
        <f t="shared" si="0"/>
        <v>7.06</v>
      </c>
      <c r="H40" s="48" t="s">
        <v>37</v>
      </c>
      <c r="I40" s="54">
        <v>3545.2</v>
      </c>
      <c r="J40" s="54">
        <v>3691.2</v>
      </c>
      <c r="K40" s="54">
        <v>3757</v>
      </c>
      <c r="L40" s="54">
        <v>4009</v>
      </c>
      <c r="M40" s="54">
        <v>4200.44</v>
      </c>
      <c r="N40" s="54">
        <v>4441.84</v>
      </c>
      <c r="O40" s="54">
        <v>4704.14</v>
      </c>
    </row>
    <row r="41" ht="16" customHeight="1" spans="1:15">
      <c r="A41" s="49" t="s">
        <v>17</v>
      </c>
      <c r="B41" s="49">
        <v>2015</v>
      </c>
      <c r="C41" s="49" t="s">
        <v>32</v>
      </c>
      <c r="D41" s="49">
        <v>3349.3</v>
      </c>
      <c r="E41" s="49">
        <f t="shared" si="0"/>
        <v>6.26</v>
      </c>
      <c r="H41" s="48" t="s">
        <v>70</v>
      </c>
      <c r="I41" s="48">
        <f t="shared" ref="I41:O41" si="1">SUM(I29:I40)</f>
        <v>42578.9</v>
      </c>
      <c r="J41" s="48">
        <f t="shared" si="1"/>
        <v>43909.1</v>
      </c>
      <c r="K41" s="48">
        <f t="shared" si="1"/>
        <v>41330.9</v>
      </c>
      <c r="L41" s="48">
        <f t="shared" si="1"/>
        <v>47181.69</v>
      </c>
      <c r="M41" s="48">
        <f t="shared" si="1"/>
        <v>50386.48</v>
      </c>
      <c r="N41" s="48">
        <f t="shared" si="1"/>
        <v>53412.22</v>
      </c>
      <c r="O41" s="48">
        <f t="shared" si="1"/>
        <v>56450.09</v>
      </c>
    </row>
    <row r="42" ht="16" customHeight="1" spans="1:5">
      <c r="A42" s="49" t="s">
        <v>17</v>
      </c>
      <c r="B42" s="49">
        <v>2015</v>
      </c>
      <c r="C42" s="49" t="s">
        <v>33</v>
      </c>
      <c r="D42" s="49">
        <v>3364.8</v>
      </c>
      <c r="E42" s="49">
        <f t="shared" si="0"/>
        <v>5.56</v>
      </c>
    </row>
    <row r="43" ht="16" customHeight="1" spans="1:5">
      <c r="A43" s="49" t="s">
        <v>17</v>
      </c>
      <c r="B43" s="49">
        <v>2015</v>
      </c>
      <c r="C43" s="49" t="s">
        <v>34</v>
      </c>
      <c r="D43" s="49">
        <v>3392.1</v>
      </c>
      <c r="E43" s="49">
        <f t="shared" si="0"/>
        <v>5.04</v>
      </c>
    </row>
    <row r="44" ht="16" customHeight="1" spans="1:5">
      <c r="A44" s="49" t="s">
        <v>17</v>
      </c>
      <c r="B44" s="49">
        <v>2015</v>
      </c>
      <c r="C44" s="49" t="s">
        <v>36</v>
      </c>
      <c r="D44" s="49">
        <v>3412.4</v>
      </c>
      <c r="E44" s="49">
        <f t="shared" si="0"/>
        <v>4.36</v>
      </c>
    </row>
    <row r="45" ht="16" customHeight="1" spans="1:9">
      <c r="A45" s="49" t="s">
        <v>17</v>
      </c>
      <c r="B45" s="49">
        <v>2015</v>
      </c>
      <c r="C45" s="49" t="s">
        <v>37</v>
      </c>
      <c r="D45" s="49">
        <v>3408.9</v>
      </c>
      <c r="E45" s="49">
        <f t="shared" si="0"/>
        <v>4</v>
      </c>
      <c r="H45" s="50" t="s">
        <v>71</v>
      </c>
      <c r="I45" s="55" t="s">
        <v>72</v>
      </c>
    </row>
    <row r="46" ht="16" customHeight="1" spans="1:9">
      <c r="A46" s="51" t="s">
        <v>17</v>
      </c>
      <c r="B46" s="51">
        <v>2016</v>
      </c>
      <c r="C46" s="51" t="s">
        <v>19</v>
      </c>
      <c r="D46" s="51">
        <v>3420.6</v>
      </c>
      <c r="E46" s="51">
        <f t="shared" si="0"/>
        <v>3.41</v>
      </c>
      <c r="H46" s="52" t="s">
        <v>64</v>
      </c>
      <c r="I46" s="56">
        <f>((J41-I41)/J41)*100</f>
        <v>3.0294403665755</v>
      </c>
    </row>
    <row r="47" ht="16" customHeight="1" spans="1:9">
      <c r="A47" s="51" t="s">
        <v>17</v>
      </c>
      <c r="B47" s="51">
        <v>2016</v>
      </c>
      <c r="C47" s="51" t="s">
        <v>20</v>
      </c>
      <c r="D47" s="51">
        <v>3415.5</v>
      </c>
      <c r="E47" s="51">
        <f t="shared" si="0"/>
        <v>3.6</v>
      </c>
      <c r="H47" s="52" t="s">
        <v>65</v>
      </c>
      <c r="I47" s="56">
        <f>((K41-J41)/K41)*100</f>
        <v>-6.23794787918966</v>
      </c>
    </row>
    <row r="48" ht="16" customHeight="1" spans="1:9">
      <c r="A48" s="51" t="s">
        <v>17</v>
      </c>
      <c r="B48" s="51">
        <v>2016</v>
      </c>
      <c r="C48" s="51" t="s">
        <v>26</v>
      </c>
      <c r="D48" s="51">
        <v>3415.9</v>
      </c>
      <c r="E48" s="51">
        <f t="shared" si="0"/>
        <v>3.67</v>
      </c>
      <c r="H48" s="52" t="s">
        <v>66</v>
      </c>
      <c r="I48" s="56">
        <f>((L41-K41)/L41)*100</f>
        <v>12.4005519937925</v>
      </c>
    </row>
    <row r="49" ht="16" customHeight="1" spans="1:9">
      <c r="A49" s="51" t="s">
        <v>17</v>
      </c>
      <c r="B49" s="51">
        <v>2016</v>
      </c>
      <c r="C49" s="51" t="s">
        <v>29</v>
      </c>
      <c r="D49" s="51">
        <v>3450.5</v>
      </c>
      <c r="E49" s="51">
        <f t="shared" si="0"/>
        <v>2.75</v>
      </c>
      <c r="H49" s="52" t="s">
        <v>67</v>
      </c>
      <c r="I49" s="56">
        <f>((M41-L41)/M41)*100</f>
        <v>6.36041652443276</v>
      </c>
    </row>
    <row r="50" ht="16" customHeight="1" spans="1:9">
      <c r="A50" s="51" t="s">
        <v>17</v>
      </c>
      <c r="B50" s="51">
        <v>2016</v>
      </c>
      <c r="C50" s="51" t="s">
        <v>15</v>
      </c>
      <c r="D50" s="51">
        <v>3488.2</v>
      </c>
      <c r="E50" s="51">
        <f t="shared" si="0"/>
        <v>1.78</v>
      </c>
      <c r="H50" s="52" t="s">
        <v>68</v>
      </c>
      <c r="I50" s="56">
        <f>((N41-M41)/N41)*100</f>
        <v>5.66488342929764</v>
      </c>
    </row>
    <row r="51" ht="16" customHeight="1" spans="1:9">
      <c r="A51" s="51" t="s">
        <v>17</v>
      </c>
      <c r="B51" s="51">
        <v>2016</v>
      </c>
      <c r="C51" s="51" t="s">
        <v>30</v>
      </c>
      <c r="D51" s="51">
        <v>3527.3</v>
      </c>
      <c r="E51" s="51">
        <f t="shared" si="0"/>
        <v>1.14</v>
      </c>
      <c r="H51" s="52" t="s">
        <v>69</v>
      </c>
      <c r="I51" s="56">
        <f>((O41-N41)/O41)*100</f>
        <v>5.38151489218175</v>
      </c>
    </row>
    <row r="52" ht="16" customHeight="1" spans="1:5">
      <c r="A52" s="51" t="s">
        <v>17</v>
      </c>
      <c r="B52" s="51">
        <v>2016</v>
      </c>
      <c r="C52" s="51" t="s">
        <v>31</v>
      </c>
      <c r="D52" s="51">
        <v>3558.4</v>
      </c>
      <c r="E52" s="51">
        <f t="shared" si="0"/>
        <v>1.55</v>
      </c>
    </row>
    <row r="53" ht="16" customHeight="1" spans="1:5">
      <c r="A53" s="51" t="s">
        <v>17</v>
      </c>
      <c r="B53" s="51">
        <v>2016</v>
      </c>
      <c r="C53" s="51" t="s">
        <v>32</v>
      </c>
      <c r="D53" s="51">
        <v>3558.9</v>
      </c>
      <c r="E53" s="51">
        <f t="shared" si="0"/>
        <v>2.34</v>
      </c>
    </row>
    <row r="54" ht="16" customHeight="1" spans="1:5">
      <c r="A54" s="51" t="s">
        <v>17</v>
      </c>
      <c r="B54" s="51">
        <v>2016</v>
      </c>
      <c r="C54" s="51" t="s">
        <v>33</v>
      </c>
      <c r="D54" s="51">
        <v>3551.8</v>
      </c>
      <c r="E54" s="51">
        <f t="shared" si="0"/>
        <v>2.42</v>
      </c>
    </row>
    <row r="55" ht="16" customHeight="1" spans="1:5">
      <c r="A55" s="51" t="s">
        <v>17</v>
      </c>
      <c r="B55" s="51">
        <v>2016</v>
      </c>
      <c r="C55" s="51" t="s">
        <v>34</v>
      </c>
      <c r="D55" s="51">
        <v>3563.2</v>
      </c>
      <c r="E55" s="51">
        <f t="shared" si="0"/>
        <v>2.62</v>
      </c>
    </row>
    <row r="56" ht="16" customHeight="1" spans="1:5">
      <c r="A56" s="51" t="s">
        <v>17</v>
      </c>
      <c r="B56" s="51">
        <v>2016</v>
      </c>
      <c r="C56" s="51" t="s">
        <v>36</v>
      </c>
      <c r="D56" s="51">
        <v>3561.1</v>
      </c>
      <c r="E56" s="51">
        <f t="shared" si="0"/>
        <v>3.91</v>
      </c>
    </row>
    <row r="57" ht="16" customHeight="1" spans="1:5">
      <c r="A57" s="51" t="s">
        <v>17</v>
      </c>
      <c r="B57" s="51">
        <v>2016</v>
      </c>
      <c r="C57" s="51" t="s">
        <v>37</v>
      </c>
      <c r="D57" s="51">
        <v>3545.2</v>
      </c>
      <c r="E57" s="51">
        <f t="shared" si="0"/>
        <v>4.12</v>
      </c>
    </row>
    <row r="58" ht="16" customHeight="1" spans="1:5">
      <c r="A58" s="53" t="s">
        <v>17</v>
      </c>
      <c r="B58" s="53">
        <v>2017</v>
      </c>
      <c r="C58" s="53" t="s">
        <v>19</v>
      </c>
      <c r="D58" s="53">
        <v>3537.3</v>
      </c>
      <c r="E58" s="53">
        <f t="shared" si="0"/>
        <v>4.1</v>
      </c>
    </row>
    <row r="59" ht="16" customHeight="1" spans="1:5">
      <c r="A59" s="53" t="s">
        <v>17</v>
      </c>
      <c r="B59" s="53">
        <v>2017</v>
      </c>
      <c r="C59" s="53" t="s">
        <v>20</v>
      </c>
      <c r="D59" s="53">
        <v>3538.6</v>
      </c>
      <c r="E59" s="53">
        <f t="shared" si="0"/>
        <v>3.63</v>
      </c>
    </row>
    <row r="60" ht="16" customHeight="1" spans="1:5">
      <c r="A60" s="53" t="s">
        <v>17</v>
      </c>
      <c r="B60" s="53">
        <v>2017</v>
      </c>
      <c r="C60" s="53" t="s">
        <v>26</v>
      </c>
      <c r="D60" s="53">
        <v>3541.4</v>
      </c>
      <c r="E60" s="53">
        <f t="shared" si="0"/>
        <v>3.65</v>
      </c>
    </row>
    <row r="61" ht="16" customHeight="1" spans="1:5">
      <c r="A61" s="53" t="s">
        <v>17</v>
      </c>
      <c r="B61" s="53">
        <v>2017</v>
      </c>
      <c r="C61" s="53" t="s">
        <v>29</v>
      </c>
      <c r="D61" s="53">
        <v>3545.4</v>
      </c>
      <c r="E61" s="53">
        <f t="shared" si="0"/>
        <v>3.89</v>
      </c>
    </row>
    <row r="62" ht="16" customHeight="1" spans="1:5">
      <c r="A62" s="53" t="s">
        <v>17</v>
      </c>
      <c r="B62" s="53">
        <v>2017</v>
      </c>
      <c r="C62" s="53" t="s">
        <v>15</v>
      </c>
      <c r="D62" s="53">
        <v>3550.3</v>
      </c>
      <c r="E62" s="53">
        <f t="shared" si="0"/>
        <v>4.1</v>
      </c>
    </row>
    <row r="63" ht="16" customHeight="1" spans="1:5">
      <c r="A63" s="53" t="s">
        <v>17</v>
      </c>
      <c r="B63" s="53">
        <v>2017</v>
      </c>
      <c r="C63" s="53" t="s">
        <v>30</v>
      </c>
      <c r="D63" s="53">
        <v>3567.5</v>
      </c>
      <c r="E63" s="53">
        <f t="shared" si="0"/>
        <v>4.19</v>
      </c>
    </row>
    <row r="64" ht="16" customHeight="1" spans="1:5">
      <c r="A64" s="53" t="s">
        <v>17</v>
      </c>
      <c r="B64" s="53">
        <v>2017</v>
      </c>
      <c r="C64" s="53" t="s">
        <v>31</v>
      </c>
      <c r="D64" s="53">
        <v>3613.7</v>
      </c>
      <c r="E64" s="53">
        <f t="shared" si="0"/>
        <v>3.69</v>
      </c>
    </row>
    <row r="65" ht="16" customHeight="1" spans="1:5">
      <c r="A65" s="53" t="s">
        <v>17</v>
      </c>
      <c r="B65" s="53">
        <v>2017</v>
      </c>
      <c r="C65" s="53" t="s">
        <v>32</v>
      </c>
      <c r="D65" s="53">
        <v>3642.3</v>
      </c>
      <c r="E65" s="53">
        <f t="shared" si="0"/>
        <v>3.22</v>
      </c>
    </row>
    <row r="66" ht="16" customHeight="1" spans="1:5">
      <c r="A66" s="53" t="s">
        <v>17</v>
      </c>
      <c r="B66" s="53">
        <v>2017</v>
      </c>
      <c r="C66" s="53" t="s">
        <v>33</v>
      </c>
      <c r="D66" s="53">
        <v>3637.9</v>
      </c>
      <c r="E66" s="53">
        <f t="shared" si="0"/>
        <v>3.09</v>
      </c>
    </row>
    <row r="67" ht="16" customHeight="1" spans="1:5">
      <c r="A67" s="53" t="s">
        <v>17</v>
      </c>
      <c r="B67" s="53">
        <v>2017</v>
      </c>
      <c r="C67" s="53" t="s">
        <v>34</v>
      </c>
      <c r="D67" s="53">
        <v>3656.7</v>
      </c>
      <c r="E67" s="53">
        <f t="shared" si="0"/>
        <v>3.05</v>
      </c>
    </row>
    <row r="68" ht="16" customHeight="1" spans="1:5">
      <c r="A68" s="53" t="s">
        <v>17</v>
      </c>
      <c r="B68" s="53">
        <v>2017</v>
      </c>
      <c r="C68" s="53" t="s">
        <v>36</v>
      </c>
      <c r="D68" s="53">
        <v>3700.5</v>
      </c>
      <c r="E68" s="53">
        <f t="shared" si="0"/>
        <v>1.81</v>
      </c>
    </row>
    <row r="69" ht="16" customHeight="1" spans="1:5">
      <c r="A69" s="53" t="s">
        <v>17</v>
      </c>
      <c r="B69" s="53">
        <v>2017</v>
      </c>
      <c r="C69" s="53" t="s">
        <v>37</v>
      </c>
      <c r="D69" s="53">
        <v>3691.2</v>
      </c>
      <c r="E69" s="53">
        <f t="shared" si="0"/>
        <v>1.78</v>
      </c>
    </row>
    <row r="70" ht="16" customHeight="1" spans="1:5">
      <c r="A70" s="57" t="s">
        <v>17</v>
      </c>
      <c r="B70" s="57">
        <v>2018</v>
      </c>
      <c r="C70" s="57" t="s">
        <v>19</v>
      </c>
      <c r="D70" s="57">
        <v>3682.4</v>
      </c>
      <c r="E70" s="57">
        <f t="shared" si="0"/>
        <v>1.7</v>
      </c>
    </row>
    <row r="71" ht="16" customHeight="1" spans="1:5">
      <c r="A71" s="57" t="s">
        <v>17</v>
      </c>
      <c r="B71" s="57">
        <v>2018</v>
      </c>
      <c r="C71" s="57" t="s">
        <v>20</v>
      </c>
      <c r="D71" s="57">
        <v>3667.1</v>
      </c>
      <c r="E71" s="57">
        <f t="shared" si="0"/>
        <v>2.35</v>
      </c>
    </row>
    <row r="72" ht="16" customHeight="1" spans="1:5">
      <c r="A72" s="57" t="s">
        <v>17</v>
      </c>
      <c r="B72" s="57">
        <v>2018</v>
      </c>
      <c r="C72" s="57" t="s">
        <v>26</v>
      </c>
      <c r="D72" s="57">
        <v>3670.5</v>
      </c>
      <c r="E72" s="57">
        <f t="shared" si="0"/>
        <v>2.54</v>
      </c>
    </row>
    <row r="73" ht="16" customHeight="1" spans="1:5">
      <c r="A73" s="57" t="s">
        <v>17</v>
      </c>
      <c r="B73" s="57">
        <v>2018</v>
      </c>
      <c r="C73" s="57" t="s">
        <v>29</v>
      </c>
      <c r="D73" s="57">
        <v>3683.4</v>
      </c>
      <c r="E73" s="57">
        <f t="shared" si="0"/>
        <v>3.23</v>
      </c>
    </row>
    <row r="74" ht="16" customHeight="1" spans="1:5">
      <c r="A74" s="57" t="s">
        <v>17</v>
      </c>
      <c r="B74" s="57">
        <v>2018</v>
      </c>
      <c r="C74" s="57" t="s">
        <v>15</v>
      </c>
      <c r="D74" s="57">
        <v>3695.9</v>
      </c>
      <c r="E74" s="57">
        <f t="shared" si="0"/>
        <v>3.62</v>
      </c>
    </row>
    <row r="75" ht="16" customHeight="1" spans="1:5">
      <c r="A75" s="57" t="s">
        <v>17</v>
      </c>
      <c r="B75" s="57">
        <v>2018</v>
      </c>
      <c r="C75" s="57" t="s">
        <v>30</v>
      </c>
      <c r="D75" s="57">
        <v>3717.1</v>
      </c>
      <c r="E75" s="57">
        <f t="shared" si="0"/>
        <v>3.88</v>
      </c>
    </row>
    <row r="76" ht="16" customHeight="1" spans="1:5">
      <c r="A76" s="57" t="s">
        <v>17</v>
      </c>
      <c r="B76" s="57">
        <v>2018</v>
      </c>
      <c r="C76" s="57" t="s">
        <v>31</v>
      </c>
      <c r="D76" s="57">
        <v>3747</v>
      </c>
      <c r="E76" s="57">
        <f t="shared" si="0"/>
        <v>3.5</v>
      </c>
    </row>
    <row r="77" ht="16" customHeight="1" spans="1:5">
      <c r="A77" s="57" t="s">
        <v>17</v>
      </c>
      <c r="B77" s="57">
        <v>2018</v>
      </c>
      <c r="C77" s="57" t="s">
        <v>32</v>
      </c>
      <c r="D77" s="57">
        <v>3759.7</v>
      </c>
      <c r="E77" s="57">
        <f t="shared" ref="E77:E117" si="2">ROUND(((D89-D77)/D77)*100,2)</f>
        <v>3.62</v>
      </c>
    </row>
    <row r="78" ht="16" customHeight="1" spans="1:5">
      <c r="A78" s="57" t="s">
        <v>17</v>
      </c>
      <c r="B78" s="57">
        <v>2018</v>
      </c>
      <c r="C78" s="57" t="s">
        <v>33</v>
      </c>
      <c r="D78" s="57">
        <v>3750.2</v>
      </c>
      <c r="E78" s="57">
        <f t="shared" si="2"/>
        <v>4.81</v>
      </c>
    </row>
    <row r="79" ht="16" customHeight="1" spans="1:5">
      <c r="A79" s="57" t="s">
        <v>17</v>
      </c>
      <c r="B79" s="57">
        <v>2018</v>
      </c>
      <c r="C79" s="57" t="s">
        <v>34</v>
      </c>
      <c r="D79" s="57">
        <v>3768.2</v>
      </c>
      <c r="E79" s="57">
        <f t="shared" si="2"/>
        <v>5.19</v>
      </c>
    </row>
    <row r="80" ht="16" customHeight="1" spans="1:5">
      <c r="A80" s="57" t="s">
        <v>17</v>
      </c>
      <c r="B80" s="57">
        <v>2018</v>
      </c>
      <c r="C80" s="57" t="s">
        <v>36</v>
      </c>
      <c r="D80" s="57">
        <v>3767.3</v>
      </c>
      <c r="E80" s="57">
        <f t="shared" si="2"/>
        <v>6.42</v>
      </c>
    </row>
    <row r="81" ht="16" customHeight="1" spans="1:5">
      <c r="A81" s="57" t="s">
        <v>17</v>
      </c>
      <c r="B81" s="57">
        <v>2018</v>
      </c>
      <c r="C81" s="57" t="s">
        <v>37</v>
      </c>
      <c r="D81" s="57">
        <v>3757</v>
      </c>
      <c r="E81" s="57">
        <f t="shared" si="2"/>
        <v>6.8</v>
      </c>
    </row>
    <row r="82" ht="16" customHeight="1" spans="1:5">
      <c r="A82" s="58" t="s">
        <v>17</v>
      </c>
      <c r="B82" s="58">
        <v>2019</v>
      </c>
      <c r="C82" s="58" t="s">
        <v>19</v>
      </c>
      <c r="D82" s="58">
        <v>3745</v>
      </c>
      <c r="E82" s="58">
        <f t="shared" si="2"/>
        <v>6.53</v>
      </c>
    </row>
    <row r="83" ht="16" customHeight="1" spans="1:5">
      <c r="A83" s="58" t="s">
        <v>17</v>
      </c>
      <c r="B83" s="58">
        <v>2019</v>
      </c>
      <c r="C83" s="58" t="s">
        <v>20</v>
      </c>
      <c r="D83" s="58">
        <v>3753.3</v>
      </c>
      <c r="E83" s="58">
        <f t="shared" si="2"/>
        <v>6.01</v>
      </c>
    </row>
    <row r="84" ht="16" customHeight="1" spans="1:5">
      <c r="A84" s="58" t="s">
        <v>17</v>
      </c>
      <c r="B84" s="58">
        <v>2019</v>
      </c>
      <c r="C84" s="58" t="s">
        <v>26</v>
      </c>
      <c r="D84" s="58">
        <v>3763.7</v>
      </c>
      <c r="E84" s="58">
        <f t="shared" si="2"/>
        <v>6.89</v>
      </c>
    </row>
    <row r="85" ht="16" customHeight="1" spans="1:5">
      <c r="A85" s="58" t="s">
        <v>17</v>
      </c>
      <c r="B85" s="58">
        <v>2019</v>
      </c>
      <c r="C85" s="58" t="s">
        <v>15</v>
      </c>
      <c r="D85" s="58">
        <v>3802.4</v>
      </c>
      <c r="E85" s="58">
        <f t="shared" si="2"/>
        <v>7.46</v>
      </c>
    </row>
    <row r="86" ht="16" customHeight="1" spans="1:5">
      <c r="A86" s="58" t="s">
        <v>17</v>
      </c>
      <c r="B86" s="58">
        <v>2019</v>
      </c>
      <c r="C86" s="58" t="s">
        <v>30</v>
      </c>
      <c r="D86" s="58">
        <v>3829.7</v>
      </c>
      <c r="E86" s="58">
        <f t="shared" si="2"/>
        <v>6.7</v>
      </c>
    </row>
    <row r="87" ht="16" customHeight="1" spans="1:5">
      <c r="A87" s="58" t="s">
        <v>17</v>
      </c>
      <c r="B87" s="58">
        <v>2019</v>
      </c>
      <c r="C87" s="58" t="s">
        <v>31</v>
      </c>
      <c r="D87" s="58">
        <v>3861.2</v>
      </c>
      <c r="E87" s="58">
        <f t="shared" si="2"/>
        <v>6.91</v>
      </c>
    </row>
    <row r="88" ht="16" customHeight="1" spans="1:5">
      <c r="A88" s="58" t="s">
        <v>17</v>
      </c>
      <c r="B88" s="58">
        <v>2019</v>
      </c>
      <c r="C88" s="58" t="s">
        <v>32</v>
      </c>
      <c r="D88" s="58">
        <v>3878.2</v>
      </c>
      <c r="E88" s="58">
        <f t="shared" si="2"/>
        <v>7.04</v>
      </c>
    </row>
    <row r="89" ht="16" customHeight="1" spans="1:5">
      <c r="A89" s="58" t="s">
        <v>17</v>
      </c>
      <c r="B89" s="58">
        <v>2019</v>
      </c>
      <c r="C89" s="58" t="s">
        <v>33</v>
      </c>
      <c r="D89" s="58">
        <v>3895.7</v>
      </c>
      <c r="E89" s="58">
        <f t="shared" si="2"/>
        <v>7.75</v>
      </c>
    </row>
    <row r="90" ht="16" customHeight="1" spans="1:5">
      <c r="A90" s="58" t="s">
        <v>17</v>
      </c>
      <c r="B90" s="58">
        <v>2019</v>
      </c>
      <c r="C90" s="58" t="s">
        <v>34</v>
      </c>
      <c r="D90" s="58">
        <v>3930.7</v>
      </c>
      <c r="E90" s="58">
        <f t="shared" si="2"/>
        <v>8.22</v>
      </c>
    </row>
    <row r="91" ht="16" customHeight="1" spans="1:5">
      <c r="A91" s="58" t="s">
        <v>17</v>
      </c>
      <c r="B91" s="58">
        <v>2019</v>
      </c>
      <c r="C91" s="58" t="s">
        <v>36</v>
      </c>
      <c r="D91" s="58">
        <v>3963.7</v>
      </c>
      <c r="E91" s="58">
        <f t="shared" si="2"/>
        <v>7.86</v>
      </c>
    </row>
    <row r="92" ht="16" customHeight="1" spans="1:5">
      <c r="A92" s="58" t="s">
        <v>17</v>
      </c>
      <c r="B92" s="58">
        <v>2019</v>
      </c>
      <c r="C92" s="58" t="s">
        <v>37</v>
      </c>
      <c r="D92" s="58">
        <v>4009</v>
      </c>
      <c r="E92" s="58">
        <f t="shared" si="2"/>
        <v>6.02</v>
      </c>
    </row>
    <row r="93" ht="16" customHeight="1" spans="1:5">
      <c r="A93" s="59" t="s">
        <v>17</v>
      </c>
      <c r="B93" s="59">
        <v>2020</v>
      </c>
      <c r="C93" s="59" t="s">
        <v>19</v>
      </c>
      <c r="D93" s="59">
        <v>4012.4</v>
      </c>
      <c r="E93" s="59">
        <f t="shared" si="2"/>
        <v>5.53</v>
      </c>
    </row>
    <row r="94" ht="16" customHeight="1" spans="1:5">
      <c r="A94" s="59" t="s">
        <v>17</v>
      </c>
      <c r="B94" s="59">
        <v>2020</v>
      </c>
      <c r="C94" s="59" t="s">
        <v>20</v>
      </c>
      <c r="D94" s="59">
        <v>3989.6</v>
      </c>
      <c r="E94" s="59">
        <f t="shared" si="2"/>
        <v>6.31</v>
      </c>
    </row>
    <row r="95" ht="16" customHeight="1" spans="1:5">
      <c r="A95" s="59" t="s">
        <v>17</v>
      </c>
      <c r="B95" s="59">
        <v>2020</v>
      </c>
      <c r="C95" s="59" t="s">
        <v>26</v>
      </c>
      <c r="D95" s="59">
        <v>3978.9</v>
      </c>
      <c r="E95" s="59">
        <f t="shared" si="2"/>
        <v>7.47</v>
      </c>
    </row>
    <row r="96" ht="16" customHeight="1" spans="1:5">
      <c r="A96" s="59" t="s">
        <v>17</v>
      </c>
      <c r="B96" s="59">
        <v>2020</v>
      </c>
      <c r="C96" s="59" t="s">
        <v>29</v>
      </c>
      <c r="D96" s="59">
        <v>4022.9</v>
      </c>
      <c r="E96" s="59">
        <f t="shared" si="2"/>
        <v>8.26</v>
      </c>
    </row>
    <row r="97" ht="16" customHeight="1" spans="1:5">
      <c r="A97" s="59" t="s">
        <v>17</v>
      </c>
      <c r="B97" s="59">
        <v>2020</v>
      </c>
      <c r="C97" s="59" t="s">
        <v>30</v>
      </c>
      <c r="D97" s="59">
        <v>4086.1</v>
      </c>
      <c r="E97" s="59">
        <f t="shared" si="2"/>
        <v>7.33</v>
      </c>
    </row>
    <row r="98" ht="16" customHeight="1" spans="1:5">
      <c r="A98" s="59" t="s">
        <v>17</v>
      </c>
      <c r="B98" s="59">
        <v>2020</v>
      </c>
      <c r="C98" s="59" t="s">
        <v>31</v>
      </c>
      <c r="D98" s="59">
        <v>4086.1</v>
      </c>
      <c r="E98" s="59">
        <f t="shared" si="2"/>
        <v>8.02</v>
      </c>
    </row>
    <row r="99" ht="16" customHeight="1" spans="1:5">
      <c r="A99" s="59" t="s">
        <v>17</v>
      </c>
      <c r="B99" s="59">
        <v>2020</v>
      </c>
      <c r="C99" s="59" t="s">
        <v>32</v>
      </c>
      <c r="D99" s="59">
        <v>4128.1</v>
      </c>
      <c r="E99" s="59">
        <f t="shared" si="2"/>
        <v>7.22</v>
      </c>
    </row>
    <row r="100" ht="16" customHeight="1" spans="1:5">
      <c r="A100" s="59" t="s">
        <v>17</v>
      </c>
      <c r="B100" s="59">
        <v>2020</v>
      </c>
      <c r="C100" s="59" t="s">
        <v>33</v>
      </c>
      <c r="D100" s="59">
        <v>4151.4</v>
      </c>
      <c r="E100" s="59">
        <f t="shared" si="2"/>
        <v>6.63</v>
      </c>
    </row>
    <row r="101" ht="16" customHeight="1" spans="1:5">
      <c r="A101" s="59" t="s">
        <v>17</v>
      </c>
      <c r="B101" s="59">
        <v>2020</v>
      </c>
      <c r="C101" s="59" t="s">
        <v>34</v>
      </c>
      <c r="D101" s="59">
        <v>4197.5</v>
      </c>
      <c r="E101" s="59">
        <f t="shared" si="2"/>
        <v>6.62</v>
      </c>
    </row>
    <row r="102" ht="16" customHeight="1" spans="1:5">
      <c r="A102" s="59" t="s">
        <v>17</v>
      </c>
      <c r="B102" s="59">
        <v>2020</v>
      </c>
      <c r="C102" s="59" t="s">
        <v>36</v>
      </c>
      <c r="D102" s="59">
        <v>4253.8</v>
      </c>
      <c r="E102" s="59">
        <f t="shared" si="2"/>
        <v>5.88</v>
      </c>
    </row>
    <row r="103" ht="16" customHeight="1" spans="1:5">
      <c r="A103" s="59" t="s">
        <v>17</v>
      </c>
      <c r="B103" s="59">
        <v>2020</v>
      </c>
      <c r="C103" s="59" t="s">
        <v>37</v>
      </c>
      <c r="D103" s="59">
        <v>4275.3</v>
      </c>
      <c r="E103" s="59">
        <f t="shared" si="2"/>
        <v>5.19</v>
      </c>
    </row>
    <row r="104" ht="16" customHeight="1" spans="1:5">
      <c r="A104" s="60" t="s">
        <v>17</v>
      </c>
      <c r="B104" s="60">
        <v>2021</v>
      </c>
      <c r="C104" s="60" t="s">
        <v>19</v>
      </c>
      <c r="D104" s="60">
        <v>4250.4</v>
      </c>
      <c r="E104" s="60">
        <f t="shared" si="2"/>
        <v>5.65</v>
      </c>
    </row>
    <row r="105" ht="16" customHeight="1" spans="1:5">
      <c r="A105" s="60" t="s">
        <v>17</v>
      </c>
      <c r="B105" s="60">
        <v>2021</v>
      </c>
      <c r="C105" s="60" t="s">
        <v>20</v>
      </c>
      <c r="D105" s="60">
        <v>4234.3</v>
      </c>
      <c r="E105" s="60">
        <f t="shared" si="2"/>
        <v>6.28</v>
      </c>
    </row>
    <row r="106" ht="16" customHeight="1" spans="1:5">
      <c r="A106" s="60" t="s">
        <v>17</v>
      </c>
      <c r="B106" s="60">
        <v>2021</v>
      </c>
      <c r="C106" s="60" t="s">
        <v>26</v>
      </c>
      <c r="D106" s="60">
        <v>4241.3</v>
      </c>
      <c r="E106" s="60">
        <f t="shared" si="2"/>
        <v>7.06</v>
      </c>
    </row>
    <row r="107" ht="16" customHeight="1" spans="1:5">
      <c r="A107" s="60" t="s">
        <v>17</v>
      </c>
      <c r="B107" s="60">
        <v>2021</v>
      </c>
      <c r="C107" s="60" t="s">
        <v>29</v>
      </c>
      <c r="D107" s="60">
        <v>4276.3</v>
      </c>
      <c r="E107" s="60">
        <f t="shared" si="2"/>
        <v>7.53</v>
      </c>
    </row>
    <row r="108" ht="16" customHeight="1" spans="1:5">
      <c r="A108" s="60" t="s">
        <v>17</v>
      </c>
      <c r="B108" s="60">
        <v>2021</v>
      </c>
      <c r="C108" s="60" t="s">
        <v>15</v>
      </c>
      <c r="D108" s="60">
        <v>4355.1</v>
      </c>
      <c r="E108" s="60">
        <f t="shared" si="2"/>
        <v>6.48</v>
      </c>
    </row>
    <row r="109" ht="16" customHeight="1" spans="1:5">
      <c r="A109" s="60" t="s">
        <v>17</v>
      </c>
      <c r="B109" s="60">
        <v>2021</v>
      </c>
      <c r="C109" s="60" t="s">
        <v>30</v>
      </c>
      <c r="D109" s="60">
        <v>4385.8</v>
      </c>
      <c r="E109" s="60">
        <f t="shared" si="2"/>
        <v>6.46</v>
      </c>
    </row>
    <row r="110" ht="16" customHeight="1" spans="1:5">
      <c r="A110" s="60" t="s">
        <v>17</v>
      </c>
      <c r="B110" s="60">
        <v>2021</v>
      </c>
      <c r="C110" s="60" t="s">
        <v>31</v>
      </c>
      <c r="D110" s="60">
        <v>4413.7</v>
      </c>
      <c r="E110" s="60">
        <f t="shared" si="2"/>
        <v>6.25</v>
      </c>
    </row>
    <row r="111" ht="16" customHeight="1" spans="1:5">
      <c r="A111" s="60" t="s">
        <v>17</v>
      </c>
      <c r="B111" s="60">
        <v>2021</v>
      </c>
      <c r="C111" s="60" t="s">
        <v>32</v>
      </c>
      <c r="D111" s="60">
        <v>4426.3</v>
      </c>
      <c r="E111" s="60">
        <f t="shared" si="2"/>
        <v>6.27</v>
      </c>
    </row>
    <row r="112" ht="16" customHeight="1" spans="1:5">
      <c r="A112" s="60" t="s">
        <v>17</v>
      </c>
      <c r="B112" s="60">
        <v>2021</v>
      </c>
      <c r="C112" s="60" t="s">
        <v>33</v>
      </c>
      <c r="D112" s="60">
        <v>4426.5</v>
      </c>
      <c r="E112" s="60">
        <f t="shared" si="2"/>
        <v>6.79</v>
      </c>
    </row>
    <row r="113" ht="16" customHeight="1" spans="1:5">
      <c r="A113" s="60" t="s">
        <v>17</v>
      </c>
      <c r="B113" s="60">
        <v>2021</v>
      </c>
      <c r="C113" s="60" t="s">
        <v>34</v>
      </c>
      <c r="D113" s="60">
        <v>4475.3</v>
      </c>
      <c r="E113" s="60">
        <f t="shared" si="2"/>
        <v>6.28</v>
      </c>
    </row>
    <row r="114" ht="16" customHeight="1" spans="1:5">
      <c r="A114" s="60" t="s">
        <v>17</v>
      </c>
      <c r="B114" s="60">
        <v>2021</v>
      </c>
      <c r="C114" s="60" t="s">
        <v>36</v>
      </c>
      <c r="D114" s="60">
        <v>4503.9</v>
      </c>
      <c r="E114" s="60">
        <f t="shared" si="2"/>
        <v>5.81</v>
      </c>
    </row>
    <row r="115" ht="16" customHeight="1" spans="1:5">
      <c r="A115" s="61" t="s">
        <v>17</v>
      </c>
      <c r="B115" s="61">
        <v>2021</v>
      </c>
      <c r="C115" s="61" t="s">
        <v>37</v>
      </c>
      <c r="D115" s="61">
        <v>4497.3</v>
      </c>
      <c r="E115" s="61">
        <f t="shared" si="2"/>
        <v>5.85</v>
      </c>
    </row>
    <row r="116" ht="16" customHeight="1" spans="1:5">
      <c r="A116" s="61" t="s">
        <v>17</v>
      </c>
      <c r="B116" s="61">
        <v>2022</v>
      </c>
      <c r="C116" s="61" t="s">
        <v>19</v>
      </c>
      <c r="D116" s="61">
        <v>4490.5</v>
      </c>
      <c r="E116" s="61">
        <f t="shared" si="2"/>
        <v>6.49</v>
      </c>
    </row>
    <row r="117" ht="16" customHeight="1" spans="1:5">
      <c r="A117" s="61" t="s">
        <v>17</v>
      </c>
      <c r="B117" s="61">
        <v>2022</v>
      </c>
      <c r="C117" s="61" t="s">
        <v>20</v>
      </c>
      <c r="D117" s="61">
        <v>4500.4</v>
      </c>
      <c r="E117" s="61">
        <f t="shared" si="2"/>
        <v>6.31</v>
      </c>
    </row>
    <row r="118" ht="16" customHeight="1" spans="1:5">
      <c r="A118" s="61" t="s">
        <v>17</v>
      </c>
      <c r="B118" s="61">
        <v>2022</v>
      </c>
      <c r="C118" s="61" t="s">
        <v>26</v>
      </c>
      <c r="D118" s="61">
        <v>4540.7</v>
      </c>
      <c r="E118" s="61">
        <f>E106-0.41</f>
        <v>6.65</v>
      </c>
    </row>
    <row r="119" ht="16" customHeight="1" spans="1:5">
      <c r="A119" s="61" t="s">
        <v>17</v>
      </c>
      <c r="B119" s="61">
        <v>2022</v>
      </c>
      <c r="C119" s="61" t="s">
        <v>29</v>
      </c>
      <c r="D119" s="61">
        <v>4598.2</v>
      </c>
      <c r="E119" s="61">
        <f>ROUND(((D131-D119)/D119)*100,2)</f>
        <v>4.55</v>
      </c>
    </row>
    <row r="120" ht="16" customHeight="1" spans="1:5">
      <c r="A120" s="61" t="s">
        <v>17</v>
      </c>
      <c r="B120" s="61">
        <v>2022</v>
      </c>
      <c r="C120" s="61" t="s">
        <v>15</v>
      </c>
      <c r="D120" s="61">
        <v>4637.3</v>
      </c>
      <c r="E120" s="61">
        <f>ROUND(((D132-D120)/D120)*100,2)</f>
        <v>4.23</v>
      </c>
    </row>
    <row r="121" ht="16" customHeight="1" spans="1:5">
      <c r="A121" s="61" t="s">
        <v>17</v>
      </c>
      <c r="B121" s="61">
        <v>2022</v>
      </c>
      <c r="C121" s="61" t="s">
        <v>30</v>
      </c>
      <c r="D121" s="61">
        <v>4669.2</v>
      </c>
      <c r="E121" s="61">
        <v>6.48</v>
      </c>
    </row>
    <row r="122" ht="16" customHeight="1" spans="1:5">
      <c r="A122" s="61" t="s">
        <v>17</v>
      </c>
      <c r="B122" s="61">
        <v>2022</v>
      </c>
      <c r="C122" s="61" t="s">
        <v>31</v>
      </c>
      <c r="D122" s="61">
        <v>4689.5</v>
      </c>
      <c r="E122" s="61">
        <v>6.28</v>
      </c>
    </row>
    <row r="123" ht="16" customHeight="1" spans="1:5">
      <c r="A123" s="61" t="s">
        <v>17</v>
      </c>
      <c r="B123" s="61">
        <v>2022</v>
      </c>
      <c r="C123" s="61" t="s">
        <v>32</v>
      </c>
      <c r="D123" s="61">
        <v>4703.7</v>
      </c>
      <c r="E123" s="61">
        <f>ROUND(((D123-D111)/D111)*100,2)</f>
        <v>6.27</v>
      </c>
    </row>
    <row r="124" ht="16" customHeight="1" spans="1:5">
      <c r="A124" s="61" t="s">
        <v>17</v>
      </c>
      <c r="B124" s="61">
        <v>2022</v>
      </c>
      <c r="C124" s="61" t="s">
        <v>33</v>
      </c>
      <c r="D124" s="61">
        <v>4727.1</v>
      </c>
      <c r="E124" s="61">
        <v>6.79</v>
      </c>
    </row>
    <row r="125" ht="16" customHeight="1" spans="1:5">
      <c r="A125" s="61" t="s">
        <v>17</v>
      </c>
      <c r="B125" s="61">
        <v>2022</v>
      </c>
      <c r="C125" s="61" t="s">
        <v>34</v>
      </c>
      <c r="D125" s="61">
        <v>4756.4</v>
      </c>
      <c r="E125" s="61">
        <v>6.28</v>
      </c>
    </row>
    <row r="126" ht="16" customHeight="1" spans="1:5">
      <c r="A126" s="61" t="s">
        <v>17</v>
      </c>
      <c r="B126" s="61">
        <v>2022</v>
      </c>
      <c r="C126" s="61" t="s">
        <v>36</v>
      </c>
      <c r="D126" s="61">
        <v>4765.8</v>
      </c>
      <c r="E126" s="61">
        <v>5.81</v>
      </c>
    </row>
    <row r="127" ht="16" customHeight="1" spans="1:5">
      <c r="A127" s="61" t="s">
        <v>17</v>
      </c>
      <c r="B127" s="61">
        <v>2022</v>
      </c>
      <c r="C127" s="61" t="s">
        <v>37</v>
      </c>
      <c r="D127" s="61">
        <v>4760.5</v>
      </c>
      <c r="E127" s="61">
        <v>5.85</v>
      </c>
    </row>
    <row r="128" ht="16" customHeight="1" spans="1:5">
      <c r="A128" s="62" t="s">
        <v>17</v>
      </c>
      <c r="B128" s="62">
        <v>2023</v>
      </c>
      <c r="C128" s="62" t="s">
        <v>19</v>
      </c>
      <c r="D128" s="62">
        <v>4781.8</v>
      </c>
      <c r="E128" s="62">
        <v>7.12</v>
      </c>
    </row>
    <row r="129" ht="16" customHeight="1" spans="1:5">
      <c r="A129" s="62" t="s">
        <v>17</v>
      </c>
      <c r="B129" s="62">
        <v>2023</v>
      </c>
      <c r="C129" s="62" t="s">
        <v>20</v>
      </c>
      <c r="D129" s="62">
        <v>4784.6</v>
      </c>
      <c r="E129" s="62">
        <v>6.36</v>
      </c>
    </row>
    <row r="130" ht="16" customHeight="1" spans="1:5">
      <c r="A130" s="62" t="s">
        <v>17</v>
      </c>
      <c r="B130" s="62">
        <v>2023</v>
      </c>
      <c r="C130" s="62" t="s">
        <v>26</v>
      </c>
      <c r="D130" s="62">
        <v>4784.4</v>
      </c>
      <c r="E130" s="62">
        <f>E118-G106</f>
        <v>6.65</v>
      </c>
    </row>
    <row r="131" ht="16" customHeight="1" spans="1:5">
      <c r="A131" s="62" t="s">
        <v>17</v>
      </c>
      <c r="B131" s="62">
        <v>2023</v>
      </c>
      <c r="C131" s="62" t="s">
        <v>29</v>
      </c>
      <c r="D131" s="62">
        <v>4807.2</v>
      </c>
      <c r="E131" s="62">
        <f>ROUND(((D131-D119)/D119)*100,2)</f>
        <v>4.55</v>
      </c>
    </row>
    <row r="132" ht="16" customHeight="1" spans="1:5">
      <c r="A132" s="62" t="s">
        <v>17</v>
      </c>
      <c r="B132" s="62">
        <v>2023</v>
      </c>
      <c r="C132" s="62" t="s">
        <v>15</v>
      </c>
      <c r="D132" s="62">
        <v>4833.5</v>
      </c>
      <c r="E132" s="62">
        <f>E120-2.25</f>
        <v>1.98</v>
      </c>
    </row>
  </sheetData>
  <autoFilter xmlns:etc="http://www.wps.cn/officeDocument/2017/etCustomData" ref="A9:E132" etc:filterBottomFollowUsedRange="0">
    <extLst/>
  </autoFilter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N106"/>
  <sheetViews>
    <sheetView showGridLines="0" tabSelected="1" zoomScale="80" zoomScaleNormal="80" topLeftCell="C71" workbookViewId="0">
      <selection activeCell="H110" sqref="H110"/>
    </sheetView>
  </sheetViews>
  <sheetFormatPr defaultColWidth="8.88888888888889" defaultRowHeight="14.4"/>
  <cols>
    <col min="1" max="1" width="31.4537037037037" customWidth="1"/>
    <col min="2" max="27" width="40"/>
    <col min="28" max="28" width="31.8888888888889"/>
    <col min="29" max="29" width="24"/>
    <col min="30" max="30" width="29"/>
    <col min="31" max="31" width="22.7777777777778"/>
    <col min="32" max="32" width="15.8888888888889"/>
    <col min="33" max="33" width="30.7777777777778"/>
    <col min="34" max="34" width="18.4444444444444"/>
    <col min="35" max="35" width="17.7777777777778"/>
    <col min="36" max="36" width="35.1111111111111"/>
    <col min="37" max="37" width="31"/>
    <col min="38" max="38" width="35.4444444444444"/>
    <col min="39" max="39" width="45.2222222222222"/>
    <col min="40" max="40" width="25.2222222222222"/>
  </cols>
  <sheetData>
    <row r="10" spans="1:2">
      <c r="A10" t="s">
        <v>73</v>
      </c>
      <c r="B10" t="s">
        <v>1</v>
      </c>
    </row>
    <row r="11" spans="1:4">
      <c r="A11" t="s">
        <v>2</v>
      </c>
      <c r="B11">
        <v>2022</v>
      </c>
      <c r="C11">
        <v>2023</v>
      </c>
      <c r="D11" t="s">
        <v>74</v>
      </c>
    </row>
    <row r="12" spans="1:4">
      <c r="A12" t="s">
        <v>19</v>
      </c>
      <c r="B12">
        <v>6503.9</v>
      </c>
      <c r="C12">
        <v>6886.1</v>
      </c>
      <c r="D12">
        <v>13390</v>
      </c>
    </row>
    <row r="13" spans="1:4">
      <c r="A13" t="s">
        <v>20</v>
      </c>
      <c r="B13">
        <v>6495.1</v>
      </c>
      <c r="C13">
        <v>6848</v>
      </c>
      <c r="D13">
        <v>13343.1</v>
      </c>
    </row>
    <row r="14" spans="1:4">
      <c r="A14" t="s">
        <v>26</v>
      </c>
      <c r="B14">
        <v>6559.6</v>
      </c>
      <c r="C14">
        <v>6848.4</v>
      </c>
      <c r="D14">
        <v>13408</v>
      </c>
    </row>
    <row r="15" spans="1:4">
      <c r="A15" t="s">
        <v>29</v>
      </c>
      <c r="B15">
        <v>6651.3</v>
      </c>
      <c r="C15">
        <v>6881.5</v>
      </c>
      <c r="D15">
        <v>13532.8</v>
      </c>
    </row>
    <row r="16" spans="1:4">
      <c r="A16" t="s">
        <v>15</v>
      </c>
      <c r="B16">
        <v>6727.9</v>
      </c>
      <c r="C16">
        <v>6932.7</v>
      </c>
      <c r="D16">
        <v>13660.6</v>
      </c>
    </row>
    <row r="17" spans="1:4">
      <c r="A17" t="s">
        <v>30</v>
      </c>
      <c r="B17">
        <v>6797.7</v>
      </c>
      <c r="D17">
        <v>6797.7</v>
      </c>
    </row>
    <row r="18" spans="1:4">
      <c r="A18" t="s">
        <v>31</v>
      </c>
      <c r="B18">
        <v>6810.4</v>
      </c>
      <c r="D18">
        <v>6810.4</v>
      </c>
    </row>
    <row r="19" spans="1:4">
      <c r="A19" t="s">
        <v>32</v>
      </c>
      <c r="B19">
        <v>6818.7</v>
      </c>
      <c r="D19">
        <v>6818.7</v>
      </c>
    </row>
    <row r="20" spans="1:4">
      <c r="A20" t="s">
        <v>33</v>
      </c>
      <c r="B20">
        <v>6855.1</v>
      </c>
      <c r="D20">
        <v>6855.1</v>
      </c>
    </row>
    <row r="21" spans="1:4">
      <c r="A21" t="s">
        <v>34</v>
      </c>
      <c r="B21">
        <v>6904.1</v>
      </c>
      <c r="D21">
        <v>6904.1</v>
      </c>
    </row>
    <row r="22" spans="1:4">
      <c r="A22" t="s">
        <v>36</v>
      </c>
      <c r="B22">
        <v>6898.9</v>
      </c>
      <c r="D22">
        <v>6898.9</v>
      </c>
    </row>
    <row r="23" spans="1:4">
      <c r="A23" t="s">
        <v>37</v>
      </c>
      <c r="B23">
        <v>6856.3</v>
      </c>
      <c r="D23">
        <v>6856.3</v>
      </c>
    </row>
    <row r="24" spans="1:4">
      <c r="A24" t="s">
        <v>74</v>
      </c>
      <c r="B24">
        <v>80879</v>
      </c>
      <c r="C24">
        <v>34396.7</v>
      </c>
      <c r="D24">
        <v>115275.7</v>
      </c>
    </row>
    <row r="29" spans="1:8">
      <c r="A29" s="30" t="s">
        <v>75</v>
      </c>
      <c r="B29" s="31" t="s">
        <v>76</v>
      </c>
      <c r="E29" s="31" t="s">
        <v>75</v>
      </c>
      <c r="F29" s="31" t="s">
        <v>77</v>
      </c>
      <c r="G29" s="31" t="s">
        <v>78</v>
      </c>
      <c r="H29" s="10"/>
    </row>
    <row r="30" spans="1:7">
      <c r="A30" s="32" t="s">
        <v>79</v>
      </c>
      <c r="B30" s="33">
        <v>6797.7</v>
      </c>
      <c r="E30" s="32" t="s">
        <v>31</v>
      </c>
      <c r="F30" s="34" t="s">
        <v>80</v>
      </c>
      <c r="G30" s="35">
        <f>((B31-B30)/B30)*100</f>
        <v>0.186827897671269</v>
      </c>
    </row>
    <row r="31" spans="1:7">
      <c r="A31" s="32" t="s">
        <v>81</v>
      </c>
      <c r="B31" s="33">
        <v>6810.4</v>
      </c>
      <c r="E31" s="32" t="s">
        <v>32</v>
      </c>
      <c r="F31" s="34" t="str">
        <f t="shared" ref="F30:F40" si="0">_xlfn.CONCAT(E30,"-",E31)</f>
        <v>July-August</v>
      </c>
      <c r="G31" s="35">
        <f t="shared" ref="G31:G40" si="1">((B32-B31)/B31)*100</f>
        <v>0.121872430400567</v>
      </c>
    </row>
    <row r="32" spans="1:7">
      <c r="A32" s="32" t="s">
        <v>82</v>
      </c>
      <c r="B32" s="33">
        <v>6818.7</v>
      </c>
      <c r="E32" s="32" t="s">
        <v>33</v>
      </c>
      <c r="F32" s="34" t="str">
        <f t="shared" si="0"/>
        <v>August-September</v>
      </c>
      <c r="G32" s="35">
        <f t="shared" si="1"/>
        <v>0.533826095883387</v>
      </c>
    </row>
    <row r="33" spans="1:7">
      <c r="A33" s="32" t="s">
        <v>83</v>
      </c>
      <c r="B33" s="33">
        <v>6855.1</v>
      </c>
      <c r="E33" s="32" t="s">
        <v>34</v>
      </c>
      <c r="F33" s="34" t="str">
        <f t="shared" si="0"/>
        <v>September-October</v>
      </c>
      <c r="G33" s="35">
        <f t="shared" si="1"/>
        <v>0.714796283059328</v>
      </c>
    </row>
    <row r="34" spans="1:7">
      <c r="A34" s="32" t="s">
        <v>84</v>
      </c>
      <c r="B34" s="33">
        <v>6904.1</v>
      </c>
      <c r="E34" s="32" t="s">
        <v>36</v>
      </c>
      <c r="F34" s="34" t="str">
        <f t="shared" si="0"/>
        <v>October-November</v>
      </c>
      <c r="G34" s="35">
        <f t="shared" si="1"/>
        <v>-0.0753175649251999</v>
      </c>
    </row>
    <row r="35" spans="1:7">
      <c r="A35" s="32" t="s">
        <v>85</v>
      </c>
      <c r="B35" s="33">
        <v>6898.9</v>
      </c>
      <c r="E35" s="32" t="s">
        <v>37</v>
      </c>
      <c r="F35" s="34" t="str">
        <f t="shared" si="0"/>
        <v>November-December</v>
      </c>
      <c r="G35" s="35">
        <f t="shared" si="1"/>
        <v>-0.617489744741908</v>
      </c>
    </row>
    <row r="36" spans="1:7">
      <c r="A36" s="32" t="s">
        <v>86</v>
      </c>
      <c r="B36" s="33">
        <v>6856.3</v>
      </c>
      <c r="E36" s="32" t="s">
        <v>19</v>
      </c>
      <c r="F36" s="34" t="str">
        <f t="shared" si="0"/>
        <v>December-January</v>
      </c>
      <c r="G36" s="35">
        <f t="shared" si="1"/>
        <v>0.434636757434771</v>
      </c>
    </row>
    <row r="37" spans="1:7">
      <c r="A37" s="32" t="s">
        <v>87</v>
      </c>
      <c r="B37" s="33">
        <v>6886.1</v>
      </c>
      <c r="E37" s="32" t="s">
        <v>20</v>
      </c>
      <c r="F37" s="34" t="str">
        <f t="shared" si="0"/>
        <v>January-February</v>
      </c>
      <c r="G37" s="35">
        <f t="shared" si="1"/>
        <v>-0.553288508734993</v>
      </c>
    </row>
    <row r="38" spans="1:7">
      <c r="A38" s="32" t="s">
        <v>88</v>
      </c>
      <c r="B38" s="33">
        <v>6848</v>
      </c>
      <c r="E38" s="32" t="s">
        <v>26</v>
      </c>
      <c r="F38" s="34" t="str">
        <f t="shared" si="0"/>
        <v>February-March</v>
      </c>
      <c r="G38" s="35">
        <f t="shared" si="1"/>
        <v>0.00584112149532179</v>
      </c>
    </row>
    <row r="39" spans="1:7">
      <c r="A39" s="32" t="s">
        <v>89</v>
      </c>
      <c r="B39" s="33">
        <v>6848.4</v>
      </c>
      <c r="E39" s="32" t="s">
        <v>29</v>
      </c>
      <c r="F39" s="34" t="str">
        <f t="shared" si="0"/>
        <v>March-April</v>
      </c>
      <c r="G39" s="35">
        <f t="shared" si="1"/>
        <v>0.483324572162846</v>
      </c>
    </row>
    <row r="40" spans="1:7">
      <c r="A40" s="32" t="s">
        <v>90</v>
      </c>
      <c r="B40" s="33">
        <v>6881.5</v>
      </c>
      <c r="E40" s="32" t="s">
        <v>15</v>
      </c>
      <c r="F40" s="34" t="str">
        <f t="shared" si="0"/>
        <v>April-May</v>
      </c>
      <c r="G40" s="35">
        <f t="shared" si="1"/>
        <v>0.744023832013367</v>
      </c>
    </row>
    <row r="41" spans="1:2">
      <c r="A41" s="32" t="s">
        <v>91</v>
      </c>
      <c r="B41" s="33">
        <v>6932.7</v>
      </c>
    </row>
    <row r="56" spans="2:3">
      <c r="B56" t="s">
        <v>1</v>
      </c>
      <c r="C56" t="s">
        <v>92</v>
      </c>
    </row>
    <row r="57" spans="2:40">
      <c r="B57">
        <v>2022</v>
      </c>
      <c r="O57">
        <v>2023</v>
      </c>
      <c r="AB57" t="s">
        <v>93</v>
      </c>
      <c r="AC57" t="s">
        <v>94</v>
      </c>
      <c r="AD57" t="s">
        <v>95</v>
      </c>
      <c r="AE57" t="s">
        <v>96</v>
      </c>
      <c r="AF57" t="s">
        <v>97</v>
      </c>
      <c r="AG57" t="s">
        <v>98</v>
      </c>
      <c r="AH57" t="s">
        <v>99</v>
      </c>
      <c r="AI57" t="s">
        <v>100</v>
      </c>
      <c r="AJ57" t="s">
        <v>101</v>
      </c>
      <c r="AK57" t="s">
        <v>102</v>
      </c>
      <c r="AL57" t="s">
        <v>103</v>
      </c>
      <c r="AM57" t="s">
        <v>104</v>
      </c>
      <c r="AN57" t="s">
        <v>105</v>
      </c>
    </row>
    <row r="58" spans="1:27">
      <c r="A58" t="s">
        <v>2</v>
      </c>
      <c r="B58" t="s">
        <v>106</v>
      </c>
      <c r="C58" t="s">
        <v>107</v>
      </c>
      <c r="D58" t="s">
        <v>108</v>
      </c>
      <c r="E58" t="s">
        <v>109</v>
      </c>
      <c r="F58" t="s">
        <v>110</v>
      </c>
      <c r="G58" t="s">
        <v>111</v>
      </c>
      <c r="H58" t="s">
        <v>112</v>
      </c>
      <c r="I58" t="s">
        <v>113</v>
      </c>
      <c r="J58" t="s">
        <v>114</v>
      </c>
      <c r="K58" t="s">
        <v>115</v>
      </c>
      <c r="L58" t="s">
        <v>116</v>
      </c>
      <c r="M58" t="s">
        <v>117</v>
      </c>
      <c r="N58" t="s">
        <v>118</v>
      </c>
      <c r="O58" t="s">
        <v>106</v>
      </c>
      <c r="P58" t="s">
        <v>107</v>
      </c>
      <c r="Q58" t="s">
        <v>108</v>
      </c>
      <c r="R58" t="s">
        <v>109</v>
      </c>
      <c r="S58" t="s">
        <v>110</v>
      </c>
      <c r="T58" t="s">
        <v>111</v>
      </c>
      <c r="U58" t="s">
        <v>112</v>
      </c>
      <c r="V58" t="s">
        <v>113</v>
      </c>
      <c r="W58" t="s">
        <v>114</v>
      </c>
      <c r="X58" t="s">
        <v>115</v>
      </c>
      <c r="Y58" t="s">
        <v>116</v>
      </c>
      <c r="Z58" t="s">
        <v>117</v>
      </c>
      <c r="AA58" t="s">
        <v>118</v>
      </c>
    </row>
    <row r="59" spans="1:40">
      <c r="A59" t="s">
        <v>19</v>
      </c>
      <c r="B59">
        <v>450</v>
      </c>
      <c r="C59">
        <v>548.3</v>
      </c>
      <c r="D59">
        <v>481.4</v>
      </c>
      <c r="E59">
        <v>537.1</v>
      </c>
      <c r="F59">
        <v>536.9</v>
      </c>
      <c r="G59">
        <v>491.7</v>
      </c>
      <c r="H59">
        <v>515.2</v>
      </c>
      <c r="I59">
        <v>461.4</v>
      </c>
      <c r="J59">
        <v>360.6</v>
      </c>
      <c r="K59">
        <v>500.8</v>
      </c>
      <c r="L59">
        <v>490.7</v>
      </c>
      <c r="M59">
        <v>532.1</v>
      </c>
      <c r="N59">
        <v>597.7</v>
      </c>
      <c r="O59">
        <v>521.1</v>
      </c>
      <c r="P59">
        <v>557.8</v>
      </c>
      <c r="Q59">
        <v>524.1</v>
      </c>
      <c r="R59">
        <v>472.1</v>
      </c>
      <c r="S59">
        <v>584.4</v>
      </c>
      <c r="T59">
        <v>512.8</v>
      </c>
      <c r="U59">
        <v>623.2</v>
      </c>
      <c r="V59">
        <v>475.1</v>
      </c>
      <c r="W59">
        <v>364.1</v>
      </c>
      <c r="X59">
        <v>531.2</v>
      </c>
      <c r="Y59">
        <v>512</v>
      </c>
      <c r="Z59">
        <v>574</v>
      </c>
      <c r="AA59">
        <v>634.2</v>
      </c>
      <c r="AB59">
        <v>971.1</v>
      </c>
      <c r="AC59">
        <v>1106.1</v>
      </c>
      <c r="AD59">
        <v>1005.5</v>
      </c>
      <c r="AE59">
        <v>1009.2</v>
      </c>
      <c r="AF59">
        <v>1121.3</v>
      </c>
      <c r="AG59">
        <v>1004.5</v>
      </c>
      <c r="AH59">
        <v>1138.4</v>
      </c>
      <c r="AI59">
        <v>936.5</v>
      </c>
      <c r="AJ59">
        <v>724.7</v>
      </c>
      <c r="AK59">
        <v>1032</v>
      </c>
      <c r="AL59">
        <v>1002.7</v>
      </c>
      <c r="AM59">
        <v>1106.1</v>
      </c>
      <c r="AN59">
        <v>1231.9</v>
      </c>
    </row>
    <row r="60" spans="1:40">
      <c r="A60" t="s">
        <v>20</v>
      </c>
      <c r="B60">
        <v>451.3</v>
      </c>
      <c r="C60">
        <v>549</v>
      </c>
      <c r="D60">
        <v>482</v>
      </c>
      <c r="E60">
        <v>522.9</v>
      </c>
      <c r="F60">
        <v>527.7</v>
      </c>
      <c r="G60">
        <v>490.8</v>
      </c>
      <c r="H60">
        <v>521.9</v>
      </c>
      <c r="I60">
        <v>461.5</v>
      </c>
      <c r="J60">
        <v>357.6</v>
      </c>
      <c r="K60">
        <v>500.3</v>
      </c>
      <c r="L60">
        <v>491.9</v>
      </c>
      <c r="M60">
        <v>534.3</v>
      </c>
      <c r="N60">
        <v>603.9</v>
      </c>
      <c r="O60">
        <v>523.3</v>
      </c>
      <c r="P60">
        <v>534.9</v>
      </c>
      <c r="Q60">
        <v>532.2</v>
      </c>
      <c r="R60">
        <v>469.4</v>
      </c>
      <c r="S60">
        <v>526.3</v>
      </c>
      <c r="T60">
        <v>513.6</v>
      </c>
      <c r="U60">
        <v>626.6</v>
      </c>
      <c r="V60">
        <v>508.8</v>
      </c>
      <c r="W60">
        <v>361</v>
      </c>
      <c r="X60">
        <v>532.5</v>
      </c>
      <c r="Y60">
        <v>514.8</v>
      </c>
      <c r="Z60">
        <v>579.5</v>
      </c>
      <c r="AA60">
        <v>625.1</v>
      </c>
      <c r="AB60">
        <v>974.6</v>
      </c>
      <c r="AC60">
        <v>1083.9</v>
      </c>
      <c r="AD60">
        <v>1014.2</v>
      </c>
      <c r="AE60">
        <v>992.3</v>
      </c>
      <c r="AF60">
        <v>1054</v>
      </c>
      <c r="AG60">
        <v>1004.4</v>
      </c>
      <c r="AH60">
        <v>1148.5</v>
      </c>
      <c r="AI60">
        <v>970.3</v>
      </c>
      <c r="AJ60">
        <v>718.6</v>
      </c>
      <c r="AK60">
        <v>1032.8</v>
      </c>
      <c r="AL60">
        <v>1006.7</v>
      </c>
      <c r="AM60">
        <v>1113.8</v>
      </c>
      <c r="AN60">
        <v>1229</v>
      </c>
    </row>
    <row r="61" spans="1:40">
      <c r="A61" t="s">
        <v>26</v>
      </c>
      <c r="B61">
        <v>455.2</v>
      </c>
      <c r="C61">
        <v>577.7</v>
      </c>
      <c r="D61">
        <v>486.8</v>
      </c>
      <c r="E61">
        <v>511.1</v>
      </c>
      <c r="F61">
        <v>503.4</v>
      </c>
      <c r="G61">
        <v>491.5</v>
      </c>
      <c r="H61">
        <v>530.8</v>
      </c>
      <c r="I61">
        <v>473.1</v>
      </c>
      <c r="J61">
        <v>357.2</v>
      </c>
      <c r="K61">
        <v>506.5</v>
      </c>
      <c r="L61">
        <v>493.6</v>
      </c>
      <c r="M61">
        <v>538.2</v>
      </c>
      <c r="N61">
        <v>634.5</v>
      </c>
      <c r="O61">
        <v>523.4</v>
      </c>
      <c r="P61">
        <v>534.7</v>
      </c>
      <c r="Q61">
        <v>532.2</v>
      </c>
      <c r="R61">
        <v>469.6</v>
      </c>
      <c r="S61">
        <v>526.3</v>
      </c>
      <c r="T61">
        <v>513.8</v>
      </c>
      <c r="U61">
        <v>626.6</v>
      </c>
      <c r="V61">
        <v>508.8</v>
      </c>
      <c r="W61">
        <v>361</v>
      </c>
      <c r="X61">
        <v>532.6</v>
      </c>
      <c r="Y61">
        <v>514.8</v>
      </c>
      <c r="Z61">
        <v>579.5</v>
      </c>
      <c r="AA61">
        <v>625.1</v>
      </c>
      <c r="AB61">
        <v>978.6</v>
      </c>
      <c r="AC61">
        <v>1112.4</v>
      </c>
      <c r="AD61">
        <v>1019</v>
      </c>
      <c r="AE61">
        <v>980.7</v>
      </c>
      <c r="AF61">
        <v>1029.7</v>
      </c>
      <c r="AG61">
        <v>1005.3</v>
      </c>
      <c r="AH61">
        <v>1157.4</v>
      </c>
      <c r="AI61">
        <v>981.9</v>
      </c>
      <c r="AJ61">
        <v>718.2</v>
      </c>
      <c r="AK61">
        <v>1039.1</v>
      </c>
      <c r="AL61">
        <v>1008.4</v>
      </c>
      <c r="AM61">
        <v>1117.7</v>
      </c>
      <c r="AN61">
        <v>1259.6</v>
      </c>
    </row>
    <row r="62" spans="1:40">
      <c r="A62" t="s">
        <v>29</v>
      </c>
      <c r="B62">
        <v>460.1</v>
      </c>
      <c r="C62">
        <v>592.9</v>
      </c>
      <c r="D62">
        <v>491.9</v>
      </c>
      <c r="E62">
        <v>510.5</v>
      </c>
      <c r="F62">
        <v>493.6</v>
      </c>
      <c r="G62">
        <v>493.8</v>
      </c>
      <c r="H62">
        <v>542.2</v>
      </c>
      <c r="I62">
        <v>518.2</v>
      </c>
      <c r="J62">
        <v>357.7</v>
      </c>
      <c r="K62">
        <v>513.9</v>
      </c>
      <c r="L62">
        <v>496.1</v>
      </c>
      <c r="M62">
        <v>543.1</v>
      </c>
      <c r="N62">
        <v>637.3</v>
      </c>
      <c r="O62">
        <v>521.9</v>
      </c>
      <c r="P62">
        <v>522.1</v>
      </c>
      <c r="Q62">
        <v>535.4</v>
      </c>
      <c r="R62">
        <v>478.1</v>
      </c>
      <c r="S62">
        <v>509.9</v>
      </c>
      <c r="T62">
        <v>520.9</v>
      </c>
      <c r="U62">
        <v>636.2</v>
      </c>
      <c r="V62">
        <v>529.2</v>
      </c>
      <c r="W62">
        <v>364.8</v>
      </c>
      <c r="X62">
        <v>535.5</v>
      </c>
      <c r="Y62">
        <v>516.6</v>
      </c>
      <c r="Z62">
        <v>581</v>
      </c>
      <c r="AA62">
        <v>629.9</v>
      </c>
      <c r="AB62">
        <v>982</v>
      </c>
      <c r="AC62">
        <v>1115</v>
      </c>
      <c r="AD62">
        <v>1027.3</v>
      </c>
      <c r="AE62">
        <v>988.6</v>
      </c>
      <c r="AF62">
        <v>1003.5</v>
      </c>
      <c r="AG62">
        <v>1014.7</v>
      </c>
      <c r="AH62">
        <v>1178.4</v>
      </c>
      <c r="AI62">
        <v>1047.4</v>
      </c>
      <c r="AJ62">
        <v>722.5</v>
      </c>
      <c r="AK62">
        <v>1049.4</v>
      </c>
      <c r="AL62">
        <v>1012.7</v>
      </c>
      <c r="AM62">
        <v>1124.1</v>
      </c>
      <c r="AN62">
        <v>1267.2</v>
      </c>
    </row>
    <row r="63" spans="1:40">
      <c r="A63" t="s">
        <v>15</v>
      </c>
      <c r="B63">
        <v>463.7</v>
      </c>
      <c r="C63">
        <v>601.8</v>
      </c>
      <c r="D63">
        <v>494.9</v>
      </c>
      <c r="E63">
        <v>538.5</v>
      </c>
      <c r="F63">
        <v>487.9</v>
      </c>
      <c r="G63">
        <v>493.8</v>
      </c>
      <c r="H63">
        <v>552.9</v>
      </c>
      <c r="I63">
        <v>513.5</v>
      </c>
      <c r="J63">
        <v>359.8</v>
      </c>
      <c r="K63">
        <v>521.6</v>
      </c>
      <c r="L63">
        <v>498.8</v>
      </c>
      <c r="M63">
        <v>547.8</v>
      </c>
      <c r="N63">
        <v>652.9</v>
      </c>
      <c r="O63">
        <v>521.6</v>
      </c>
      <c r="P63">
        <v>507.7</v>
      </c>
      <c r="Q63">
        <v>538.5</v>
      </c>
      <c r="R63">
        <v>494.7</v>
      </c>
      <c r="S63">
        <v>520.9</v>
      </c>
      <c r="T63">
        <v>527.4</v>
      </c>
      <c r="U63">
        <v>650.9</v>
      </c>
      <c r="V63">
        <v>517</v>
      </c>
      <c r="W63">
        <v>368.8</v>
      </c>
      <c r="X63">
        <v>539</v>
      </c>
      <c r="Y63">
        <v>518</v>
      </c>
      <c r="Z63">
        <v>583</v>
      </c>
      <c r="AA63">
        <v>645.2</v>
      </c>
      <c r="AB63">
        <v>985.3</v>
      </c>
      <c r="AC63">
        <v>1109.5</v>
      </c>
      <c r="AD63">
        <v>1033.4</v>
      </c>
      <c r="AE63">
        <v>1033.2</v>
      </c>
      <c r="AF63">
        <v>1008.8</v>
      </c>
      <c r="AG63">
        <v>1021.2</v>
      </c>
      <c r="AH63">
        <v>1203.8</v>
      </c>
      <c r="AI63">
        <v>1030.5</v>
      </c>
      <c r="AJ63">
        <v>728.6</v>
      </c>
      <c r="AK63">
        <v>1060.6</v>
      </c>
      <c r="AL63">
        <v>1016.8</v>
      </c>
      <c r="AM63">
        <v>1130.8</v>
      </c>
      <c r="AN63">
        <v>1298.1</v>
      </c>
    </row>
    <row r="64" spans="1:40">
      <c r="A64" t="s">
        <v>30</v>
      </c>
      <c r="B64">
        <v>466.3</v>
      </c>
      <c r="C64">
        <v>597.6</v>
      </c>
      <c r="D64">
        <v>497.6</v>
      </c>
      <c r="E64">
        <v>561.1</v>
      </c>
      <c r="F64">
        <v>513.2</v>
      </c>
      <c r="G64">
        <v>492.5</v>
      </c>
      <c r="H64">
        <v>559.5</v>
      </c>
      <c r="I64">
        <v>509.6</v>
      </c>
      <c r="J64">
        <v>360.4</v>
      </c>
      <c r="K64">
        <v>526.6</v>
      </c>
      <c r="L64">
        <v>501.2</v>
      </c>
      <c r="M64">
        <v>552.1</v>
      </c>
      <c r="N64">
        <v>660</v>
      </c>
      <c r="AB64">
        <v>466.3</v>
      </c>
      <c r="AC64">
        <v>597.6</v>
      </c>
      <c r="AD64">
        <v>497.6</v>
      </c>
      <c r="AE64">
        <v>561.1</v>
      </c>
      <c r="AF64">
        <v>513.2</v>
      </c>
      <c r="AG64">
        <v>492.5</v>
      </c>
      <c r="AH64">
        <v>559.5</v>
      </c>
      <c r="AI64">
        <v>509.6</v>
      </c>
      <c r="AJ64">
        <v>360.4</v>
      </c>
      <c r="AK64">
        <v>526.6</v>
      </c>
      <c r="AL64">
        <v>501.2</v>
      </c>
      <c r="AM64">
        <v>552.1</v>
      </c>
      <c r="AN64">
        <v>660</v>
      </c>
    </row>
    <row r="65" spans="1:40">
      <c r="A65" t="s">
        <v>31</v>
      </c>
      <c r="B65">
        <v>471</v>
      </c>
      <c r="C65">
        <v>582.8</v>
      </c>
      <c r="D65">
        <v>500</v>
      </c>
      <c r="E65">
        <v>559.2</v>
      </c>
      <c r="F65">
        <v>526.1</v>
      </c>
      <c r="G65">
        <v>492.7</v>
      </c>
      <c r="H65">
        <v>568.1</v>
      </c>
      <c r="I65">
        <v>523.3</v>
      </c>
      <c r="J65">
        <v>360.7</v>
      </c>
      <c r="K65">
        <v>526.9</v>
      </c>
      <c r="L65">
        <v>502.7</v>
      </c>
      <c r="M65">
        <v>556</v>
      </c>
      <c r="N65">
        <v>640.9</v>
      </c>
      <c r="AB65">
        <v>471</v>
      </c>
      <c r="AC65">
        <v>582.8</v>
      </c>
      <c r="AD65">
        <v>500</v>
      </c>
      <c r="AE65">
        <v>559.2</v>
      </c>
      <c r="AF65">
        <v>526.1</v>
      </c>
      <c r="AG65">
        <v>492.7</v>
      </c>
      <c r="AH65">
        <v>568.1</v>
      </c>
      <c r="AI65">
        <v>523.3</v>
      </c>
      <c r="AJ65">
        <v>360.7</v>
      </c>
      <c r="AK65">
        <v>526.9</v>
      </c>
      <c r="AL65">
        <v>502.7</v>
      </c>
      <c r="AM65">
        <v>556</v>
      </c>
      <c r="AN65">
        <v>640.9</v>
      </c>
    </row>
    <row r="66" spans="1:40">
      <c r="A66" t="s">
        <v>32</v>
      </c>
      <c r="B66">
        <v>481.9</v>
      </c>
      <c r="C66">
        <v>573</v>
      </c>
      <c r="D66">
        <v>504.4</v>
      </c>
      <c r="E66">
        <v>572.9</v>
      </c>
      <c r="F66">
        <v>508.1</v>
      </c>
      <c r="G66">
        <v>501.6</v>
      </c>
      <c r="H66">
        <v>578.9</v>
      </c>
      <c r="I66">
        <v>519.2</v>
      </c>
      <c r="J66">
        <v>363.3</v>
      </c>
      <c r="K66">
        <v>530.6</v>
      </c>
      <c r="L66">
        <v>504.1</v>
      </c>
      <c r="M66">
        <v>559.2</v>
      </c>
      <c r="N66">
        <v>621.5</v>
      </c>
      <c r="AB66">
        <v>481.9</v>
      </c>
      <c r="AC66">
        <v>573</v>
      </c>
      <c r="AD66">
        <v>504.4</v>
      </c>
      <c r="AE66">
        <v>572.9</v>
      </c>
      <c r="AF66">
        <v>508.1</v>
      </c>
      <c r="AG66">
        <v>501.6</v>
      </c>
      <c r="AH66">
        <v>578.9</v>
      </c>
      <c r="AI66">
        <v>519.2</v>
      </c>
      <c r="AJ66">
        <v>363.3</v>
      </c>
      <c r="AK66">
        <v>530.6</v>
      </c>
      <c r="AL66">
        <v>504.1</v>
      </c>
      <c r="AM66">
        <v>559.2</v>
      </c>
      <c r="AN66">
        <v>621.5</v>
      </c>
    </row>
    <row r="67" spans="1:40">
      <c r="A67" t="s">
        <v>33</v>
      </c>
      <c r="B67">
        <v>491.3</v>
      </c>
      <c r="C67">
        <v>562.1</v>
      </c>
      <c r="D67">
        <v>509.3</v>
      </c>
      <c r="E67">
        <v>589.5</v>
      </c>
      <c r="F67">
        <v>509.6</v>
      </c>
      <c r="G67">
        <v>507.3</v>
      </c>
      <c r="H67">
        <v>590</v>
      </c>
      <c r="I67">
        <v>497.3</v>
      </c>
      <c r="J67">
        <v>365.5</v>
      </c>
      <c r="K67">
        <v>535.1</v>
      </c>
      <c r="L67">
        <v>505.9</v>
      </c>
      <c r="M67">
        <v>562.6</v>
      </c>
      <c r="N67">
        <v>629.6</v>
      </c>
      <c r="AB67">
        <v>491.3</v>
      </c>
      <c r="AC67">
        <v>562.1</v>
      </c>
      <c r="AD67">
        <v>509.3</v>
      </c>
      <c r="AE67">
        <v>589.5</v>
      </c>
      <c r="AF67">
        <v>509.6</v>
      </c>
      <c r="AG67">
        <v>507.3</v>
      </c>
      <c r="AH67">
        <v>590</v>
      </c>
      <c r="AI67">
        <v>497.3</v>
      </c>
      <c r="AJ67">
        <v>365.5</v>
      </c>
      <c r="AK67">
        <v>535.1</v>
      </c>
      <c r="AL67">
        <v>505.9</v>
      </c>
      <c r="AM67">
        <v>562.6</v>
      </c>
      <c r="AN67">
        <v>629.6</v>
      </c>
    </row>
    <row r="68" spans="1:40">
      <c r="A68" t="s">
        <v>34</v>
      </c>
      <c r="B68">
        <v>496.3</v>
      </c>
      <c r="C68">
        <v>555.8</v>
      </c>
      <c r="D68">
        <v>512.8</v>
      </c>
      <c r="E68">
        <v>613.1</v>
      </c>
      <c r="F68">
        <v>513.1</v>
      </c>
      <c r="G68">
        <v>509.4</v>
      </c>
      <c r="H68">
        <v>597.9</v>
      </c>
      <c r="I68">
        <v>491.7</v>
      </c>
      <c r="J68">
        <v>366.4</v>
      </c>
      <c r="K68">
        <v>540.3</v>
      </c>
      <c r="L68">
        <v>507.3</v>
      </c>
      <c r="M68">
        <v>565.4</v>
      </c>
      <c r="N68">
        <v>634.6</v>
      </c>
      <c r="AB68">
        <v>496.3</v>
      </c>
      <c r="AC68">
        <v>555.8</v>
      </c>
      <c r="AD68">
        <v>512.8</v>
      </c>
      <c r="AE68">
        <v>613.1</v>
      </c>
      <c r="AF68">
        <v>513.1</v>
      </c>
      <c r="AG68">
        <v>509.4</v>
      </c>
      <c r="AH68">
        <v>597.9</v>
      </c>
      <c r="AI68">
        <v>491.7</v>
      </c>
      <c r="AJ68">
        <v>366.4</v>
      </c>
      <c r="AK68">
        <v>540.3</v>
      </c>
      <c r="AL68">
        <v>507.3</v>
      </c>
      <c r="AM68">
        <v>565.4</v>
      </c>
      <c r="AN68">
        <v>634.6</v>
      </c>
    </row>
    <row r="69" spans="1:40">
      <c r="A69" t="s">
        <v>36</v>
      </c>
      <c r="B69">
        <v>502.7</v>
      </c>
      <c r="C69">
        <v>562.9</v>
      </c>
      <c r="D69">
        <v>516.9</v>
      </c>
      <c r="E69">
        <v>560.2</v>
      </c>
      <c r="F69">
        <v>544.8</v>
      </c>
      <c r="G69">
        <v>511.7</v>
      </c>
      <c r="H69">
        <v>606.4</v>
      </c>
      <c r="I69">
        <v>482.4</v>
      </c>
      <c r="J69">
        <v>367</v>
      </c>
      <c r="K69">
        <v>536.2</v>
      </c>
      <c r="L69">
        <v>508.9</v>
      </c>
      <c r="M69">
        <v>568.8</v>
      </c>
      <c r="N69">
        <v>630</v>
      </c>
      <c r="AB69">
        <v>502.7</v>
      </c>
      <c r="AC69">
        <v>562.9</v>
      </c>
      <c r="AD69">
        <v>516.9</v>
      </c>
      <c r="AE69">
        <v>560.2</v>
      </c>
      <c r="AF69">
        <v>544.8</v>
      </c>
      <c r="AG69">
        <v>511.7</v>
      </c>
      <c r="AH69">
        <v>606.4</v>
      </c>
      <c r="AI69">
        <v>482.4</v>
      </c>
      <c r="AJ69">
        <v>367</v>
      </c>
      <c r="AK69">
        <v>536.2</v>
      </c>
      <c r="AL69">
        <v>508.9</v>
      </c>
      <c r="AM69">
        <v>568.8</v>
      </c>
      <c r="AN69">
        <v>630</v>
      </c>
    </row>
    <row r="70" spans="1:40">
      <c r="A70" t="s">
        <v>37</v>
      </c>
      <c r="B70">
        <v>508.2</v>
      </c>
      <c r="C70">
        <v>561.5</v>
      </c>
      <c r="D70">
        <v>520.9</v>
      </c>
      <c r="E70">
        <v>488.8</v>
      </c>
      <c r="F70">
        <v>571.2</v>
      </c>
      <c r="G70">
        <v>512.6</v>
      </c>
      <c r="H70">
        <v>613.2</v>
      </c>
      <c r="I70">
        <v>474.2</v>
      </c>
      <c r="J70">
        <v>366.1</v>
      </c>
      <c r="K70">
        <v>528.9</v>
      </c>
      <c r="L70">
        <v>510.6</v>
      </c>
      <c r="M70">
        <v>571.3</v>
      </c>
      <c r="N70">
        <v>628.8</v>
      </c>
      <c r="AB70">
        <v>508.2</v>
      </c>
      <c r="AC70">
        <v>561.5</v>
      </c>
      <c r="AD70">
        <v>520.9</v>
      </c>
      <c r="AE70">
        <v>488.8</v>
      </c>
      <c r="AF70">
        <v>571.2</v>
      </c>
      <c r="AG70">
        <v>512.6</v>
      </c>
      <c r="AH70">
        <v>613.2</v>
      </c>
      <c r="AI70">
        <v>474.2</v>
      </c>
      <c r="AJ70">
        <v>366.1</v>
      </c>
      <c r="AK70">
        <v>528.9</v>
      </c>
      <c r="AL70">
        <v>510.6</v>
      </c>
      <c r="AM70">
        <v>571.3</v>
      </c>
      <c r="AN70">
        <v>628.8</v>
      </c>
    </row>
    <row r="71" spans="1:40">
      <c r="A71" t="s">
        <v>74</v>
      </c>
      <c r="B71">
        <v>5698</v>
      </c>
      <c r="C71">
        <v>6865.4</v>
      </c>
      <c r="D71">
        <v>5998.9</v>
      </c>
      <c r="E71">
        <v>6564.9</v>
      </c>
      <c r="F71">
        <v>6235.6</v>
      </c>
      <c r="G71">
        <v>5989.4</v>
      </c>
      <c r="H71">
        <v>6777</v>
      </c>
      <c r="I71">
        <v>5925.4</v>
      </c>
      <c r="J71">
        <v>4342.3</v>
      </c>
      <c r="K71">
        <v>6267.7</v>
      </c>
      <c r="L71">
        <v>6011.8</v>
      </c>
      <c r="M71">
        <v>6630.9</v>
      </c>
      <c r="N71">
        <v>7571.7</v>
      </c>
      <c r="O71">
        <v>2611.3</v>
      </c>
      <c r="P71">
        <v>2657.2</v>
      </c>
      <c r="Q71">
        <v>2662.4</v>
      </c>
      <c r="R71">
        <v>2383.9</v>
      </c>
      <c r="S71">
        <v>2667.8</v>
      </c>
      <c r="T71">
        <v>2588.5</v>
      </c>
      <c r="U71">
        <v>3163.5</v>
      </c>
      <c r="V71">
        <v>2538.9</v>
      </c>
      <c r="W71">
        <v>1819.7</v>
      </c>
      <c r="X71">
        <v>2670.8</v>
      </c>
      <c r="Y71">
        <v>2576.2</v>
      </c>
      <c r="Z71">
        <v>2897</v>
      </c>
      <c r="AA71">
        <v>3159.5</v>
      </c>
      <c r="AB71">
        <v>8309.3</v>
      </c>
      <c r="AC71">
        <v>9522.6</v>
      </c>
      <c r="AD71">
        <v>8661.3</v>
      </c>
      <c r="AE71">
        <v>8948.8</v>
      </c>
      <c r="AF71">
        <v>8903.4</v>
      </c>
      <c r="AG71">
        <v>8577.9</v>
      </c>
      <c r="AH71">
        <v>9940.5</v>
      </c>
      <c r="AI71">
        <v>8464.3</v>
      </c>
      <c r="AJ71">
        <v>6162</v>
      </c>
      <c r="AK71">
        <v>8938.5</v>
      </c>
      <c r="AL71">
        <v>8588</v>
      </c>
      <c r="AM71">
        <v>9527.9</v>
      </c>
      <c r="AN71">
        <v>10731.2</v>
      </c>
    </row>
    <row r="75" spans="1:27">
      <c r="A75" s="36" t="s">
        <v>2</v>
      </c>
      <c r="B75" s="37" t="s">
        <v>106</v>
      </c>
      <c r="C75" s="37" t="s">
        <v>107</v>
      </c>
      <c r="D75" s="37" t="s">
        <v>108</v>
      </c>
      <c r="E75" s="37" t="s">
        <v>109</v>
      </c>
      <c r="F75" s="37" t="s">
        <v>110</v>
      </c>
      <c r="G75" s="37" t="s">
        <v>111</v>
      </c>
      <c r="H75" s="37" t="s">
        <v>112</v>
      </c>
      <c r="I75" s="37" t="s">
        <v>113</v>
      </c>
      <c r="J75" s="37" t="s">
        <v>114</v>
      </c>
      <c r="K75" s="37" t="s">
        <v>115</v>
      </c>
      <c r="L75" s="37" t="s">
        <v>116</v>
      </c>
      <c r="M75" s="37" t="s">
        <v>117</v>
      </c>
      <c r="N75" s="37" t="s">
        <v>118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14">
      <c r="A76" s="38" t="s">
        <v>30</v>
      </c>
      <c r="B76">
        <v>466.3</v>
      </c>
      <c r="C76">
        <v>597.6</v>
      </c>
      <c r="D76">
        <v>497.6</v>
      </c>
      <c r="E76">
        <v>561.1</v>
      </c>
      <c r="F76">
        <v>513.2</v>
      </c>
      <c r="G76">
        <v>492.5</v>
      </c>
      <c r="H76">
        <v>559.5</v>
      </c>
      <c r="I76">
        <v>509.6</v>
      </c>
      <c r="J76">
        <v>360.4</v>
      </c>
      <c r="K76">
        <v>526.6</v>
      </c>
      <c r="L76">
        <v>501.2</v>
      </c>
      <c r="M76">
        <v>552.1</v>
      </c>
      <c r="N76">
        <v>660</v>
      </c>
    </row>
    <row r="77" spans="1:14">
      <c r="A77" s="38" t="s">
        <v>31</v>
      </c>
      <c r="B77">
        <v>471</v>
      </c>
      <c r="C77">
        <v>582.8</v>
      </c>
      <c r="D77">
        <v>500</v>
      </c>
      <c r="E77">
        <v>559.2</v>
      </c>
      <c r="F77">
        <v>526.1</v>
      </c>
      <c r="G77">
        <v>492.7</v>
      </c>
      <c r="H77">
        <v>568.1</v>
      </c>
      <c r="I77">
        <v>523.3</v>
      </c>
      <c r="J77">
        <v>360.7</v>
      </c>
      <c r="K77">
        <v>526.9</v>
      </c>
      <c r="L77">
        <v>502.7</v>
      </c>
      <c r="M77">
        <v>556</v>
      </c>
      <c r="N77">
        <v>640.9</v>
      </c>
    </row>
    <row r="78" spans="1:14">
      <c r="A78" s="38" t="s">
        <v>32</v>
      </c>
      <c r="B78">
        <v>481.9</v>
      </c>
      <c r="C78">
        <v>573</v>
      </c>
      <c r="D78">
        <v>504.4</v>
      </c>
      <c r="E78">
        <v>572.9</v>
      </c>
      <c r="F78">
        <v>508.1</v>
      </c>
      <c r="G78">
        <v>501.6</v>
      </c>
      <c r="H78">
        <v>578.9</v>
      </c>
      <c r="I78">
        <v>519.2</v>
      </c>
      <c r="J78">
        <v>363.3</v>
      </c>
      <c r="K78">
        <v>530.6</v>
      </c>
      <c r="L78">
        <v>504.1</v>
      </c>
      <c r="M78">
        <v>559.2</v>
      </c>
      <c r="N78">
        <v>621.5</v>
      </c>
    </row>
    <row r="79" spans="1:14">
      <c r="A79" s="38" t="s">
        <v>33</v>
      </c>
      <c r="B79">
        <v>491.3</v>
      </c>
      <c r="C79">
        <v>562.1</v>
      </c>
      <c r="D79">
        <v>509.3</v>
      </c>
      <c r="E79">
        <v>589.5</v>
      </c>
      <c r="F79">
        <v>509.6</v>
      </c>
      <c r="G79">
        <v>507.3</v>
      </c>
      <c r="H79">
        <v>590</v>
      </c>
      <c r="I79">
        <v>497.3</v>
      </c>
      <c r="J79">
        <v>365.5</v>
      </c>
      <c r="K79">
        <v>535.1</v>
      </c>
      <c r="L79">
        <v>505.9</v>
      </c>
      <c r="M79">
        <v>562.6</v>
      </c>
      <c r="N79">
        <v>629.6</v>
      </c>
    </row>
    <row r="80" spans="1:14">
      <c r="A80" s="38" t="s">
        <v>34</v>
      </c>
      <c r="B80">
        <v>496.3</v>
      </c>
      <c r="C80">
        <v>555.8</v>
      </c>
      <c r="D80">
        <v>512.8</v>
      </c>
      <c r="E80">
        <v>613.1</v>
      </c>
      <c r="F80">
        <v>513.1</v>
      </c>
      <c r="G80">
        <v>509.4</v>
      </c>
      <c r="H80">
        <v>597.9</v>
      </c>
      <c r="I80">
        <v>491.7</v>
      </c>
      <c r="J80">
        <v>366.4</v>
      </c>
      <c r="K80">
        <v>540.3</v>
      </c>
      <c r="L80">
        <v>507.3</v>
      </c>
      <c r="M80">
        <v>565.4</v>
      </c>
      <c r="N80">
        <v>634.6</v>
      </c>
    </row>
    <row r="81" spans="1:14">
      <c r="A81" s="38" t="s">
        <v>36</v>
      </c>
      <c r="B81">
        <v>502.7</v>
      </c>
      <c r="C81">
        <v>562.9</v>
      </c>
      <c r="D81">
        <v>516.9</v>
      </c>
      <c r="E81">
        <v>560.2</v>
      </c>
      <c r="F81">
        <v>544.8</v>
      </c>
      <c r="G81">
        <v>511.7</v>
      </c>
      <c r="H81">
        <v>606.4</v>
      </c>
      <c r="I81">
        <v>482.4</v>
      </c>
      <c r="J81">
        <v>367</v>
      </c>
      <c r="K81">
        <v>536.2</v>
      </c>
      <c r="L81">
        <v>508.9</v>
      </c>
      <c r="M81">
        <v>568.8</v>
      </c>
      <c r="N81">
        <v>630</v>
      </c>
    </row>
    <row r="82" spans="1:14">
      <c r="A82" s="38" t="s">
        <v>37</v>
      </c>
      <c r="B82" s="39">
        <v>508.2</v>
      </c>
      <c r="C82" s="39">
        <v>561.5</v>
      </c>
      <c r="D82" s="39">
        <v>520.9</v>
      </c>
      <c r="E82" s="39">
        <v>488.8</v>
      </c>
      <c r="F82" s="39">
        <v>571.2</v>
      </c>
      <c r="G82" s="39">
        <v>512.6</v>
      </c>
      <c r="H82" s="39">
        <v>613.2</v>
      </c>
      <c r="I82" s="39">
        <v>474.2</v>
      </c>
      <c r="J82" s="39">
        <v>366.1</v>
      </c>
      <c r="K82" s="39">
        <v>528.9</v>
      </c>
      <c r="L82" s="39">
        <v>510.6</v>
      </c>
      <c r="M82" s="39">
        <v>571.3</v>
      </c>
      <c r="N82" s="39">
        <v>628.8</v>
      </c>
    </row>
    <row r="83" spans="1:14">
      <c r="A83" s="38" t="s">
        <v>19</v>
      </c>
      <c r="B83">
        <v>521.1</v>
      </c>
      <c r="C83">
        <v>557.8</v>
      </c>
      <c r="D83">
        <v>524.1</v>
      </c>
      <c r="E83">
        <v>472.1</v>
      </c>
      <c r="F83">
        <v>584.4</v>
      </c>
      <c r="G83">
        <v>512.8</v>
      </c>
      <c r="H83">
        <v>623.2</v>
      </c>
      <c r="I83">
        <v>475.1</v>
      </c>
      <c r="J83">
        <v>364.1</v>
      </c>
      <c r="K83">
        <v>531.2</v>
      </c>
      <c r="L83">
        <v>512</v>
      </c>
      <c r="M83">
        <v>574</v>
      </c>
      <c r="N83">
        <v>634.2</v>
      </c>
    </row>
    <row r="84" spans="1:14">
      <c r="A84" s="38" t="s">
        <v>20</v>
      </c>
      <c r="B84">
        <v>523.3</v>
      </c>
      <c r="C84">
        <v>534.9</v>
      </c>
      <c r="D84">
        <v>532.2</v>
      </c>
      <c r="E84">
        <v>469.4</v>
      </c>
      <c r="F84">
        <v>526.3</v>
      </c>
      <c r="G84">
        <v>513.6</v>
      </c>
      <c r="H84">
        <v>626.6</v>
      </c>
      <c r="I84">
        <v>508.8</v>
      </c>
      <c r="J84">
        <v>361</v>
      </c>
      <c r="K84">
        <v>532.5</v>
      </c>
      <c r="L84">
        <v>514.8</v>
      </c>
      <c r="M84">
        <v>579.5</v>
      </c>
      <c r="N84">
        <v>625.1</v>
      </c>
    </row>
    <row r="85" spans="1:14">
      <c r="A85" s="38" t="s">
        <v>26</v>
      </c>
      <c r="B85">
        <v>523.4</v>
      </c>
      <c r="C85">
        <v>534.7</v>
      </c>
      <c r="D85">
        <v>532.2</v>
      </c>
      <c r="E85">
        <v>469.6</v>
      </c>
      <c r="F85">
        <v>526.3</v>
      </c>
      <c r="G85">
        <v>513.8</v>
      </c>
      <c r="H85">
        <v>626.6</v>
      </c>
      <c r="I85">
        <v>508.8</v>
      </c>
      <c r="J85">
        <v>361</v>
      </c>
      <c r="K85">
        <v>532.6</v>
      </c>
      <c r="L85">
        <v>514.8</v>
      </c>
      <c r="M85">
        <v>579.5</v>
      </c>
      <c r="N85">
        <v>625.1</v>
      </c>
    </row>
    <row r="86" spans="1:14">
      <c r="A86" s="38" t="s">
        <v>29</v>
      </c>
      <c r="B86">
        <v>521.9</v>
      </c>
      <c r="C86">
        <v>522.1</v>
      </c>
      <c r="D86">
        <v>535.4</v>
      </c>
      <c r="E86">
        <v>478.1</v>
      </c>
      <c r="F86">
        <v>509.9</v>
      </c>
      <c r="G86">
        <v>520.9</v>
      </c>
      <c r="H86">
        <v>636.2</v>
      </c>
      <c r="I86">
        <v>529.2</v>
      </c>
      <c r="J86">
        <v>364.8</v>
      </c>
      <c r="K86">
        <v>535.5</v>
      </c>
      <c r="L86">
        <v>516.6</v>
      </c>
      <c r="M86">
        <v>581</v>
      </c>
      <c r="N86">
        <v>629.9</v>
      </c>
    </row>
    <row r="87" spans="1:14">
      <c r="A87" s="38" t="s">
        <v>15</v>
      </c>
      <c r="B87">
        <v>521.6</v>
      </c>
      <c r="C87">
        <v>507.7</v>
      </c>
      <c r="D87">
        <v>538.5</v>
      </c>
      <c r="E87">
        <v>494.7</v>
      </c>
      <c r="F87">
        <v>520.9</v>
      </c>
      <c r="G87">
        <v>527.4</v>
      </c>
      <c r="H87">
        <v>650.9</v>
      </c>
      <c r="I87">
        <v>517</v>
      </c>
      <c r="J87">
        <v>368.8</v>
      </c>
      <c r="K87">
        <v>539</v>
      </c>
      <c r="L87">
        <v>518</v>
      </c>
      <c r="M87">
        <v>583</v>
      </c>
      <c r="N87">
        <v>645.2</v>
      </c>
    </row>
    <row r="88" spans="1:14">
      <c r="A88" s="36" t="s">
        <v>119</v>
      </c>
      <c r="B88" s="40">
        <f>$B87-$B76</f>
        <v>55.3</v>
      </c>
      <c r="C88" s="40">
        <f t="shared" ref="C88:N88" si="2">C87-C76</f>
        <v>-89.9</v>
      </c>
      <c r="D88" s="41">
        <f t="shared" si="2"/>
        <v>40.9</v>
      </c>
      <c r="E88" s="41">
        <f t="shared" si="2"/>
        <v>-66.4</v>
      </c>
      <c r="F88" s="41">
        <f t="shared" si="2"/>
        <v>7.69999999999993</v>
      </c>
      <c r="G88" s="41">
        <f t="shared" si="2"/>
        <v>34.9</v>
      </c>
      <c r="H88" s="41">
        <f t="shared" si="2"/>
        <v>91.4</v>
      </c>
      <c r="I88" s="41">
        <f t="shared" si="2"/>
        <v>7.39999999999998</v>
      </c>
      <c r="J88" s="41">
        <f t="shared" si="2"/>
        <v>8.40000000000003</v>
      </c>
      <c r="K88" s="41">
        <f t="shared" si="2"/>
        <v>12.4</v>
      </c>
      <c r="L88" s="41">
        <f t="shared" si="2"/>
        <v>16.8</v>
      </c>
      <c r="M88" s="41">
        <f t="shared" si="2"/>
        <v>30.9</v>
      </c>
      <c r="N88" s="40">
        <f t="shared" si="2"/>
        <v>-14.8</v>
      </c>
    </row>
    <row r="91" spans="1:2">
      <c r="A91" s="2" t="s">
        <v>120</v>
      </c>
      <c r="B91" s="2" t="s">
        <v>119</v>
      </c>
    </row>
    <row r="92" spans="1:2">
      <c r="A92" s="42" t="s">
        <v>38</v>
      </c>
      <c r="B92" s="3">
        <v>55.3</v>
      </c>
    </row>
    <row r="93" spans="1:2">
      <c r="A93" s="42" t="s">
        <v>39</v>
      </c>
      <c r="B93" s="3">
        <v>-89.9</v>
      </c>
    </row>
    <row r="94" spans="1:2">
      <c r="A94" s="42" t="s">
        <v>40</v>
      </c>
      <c r="B94" s="3">
        <v>40.9</v>
      </c>
    </row>
    <row r="95" spans="1:2">
      <c r="A95" s="42" t="s">
        <v>41</v>
      </c>
      <c r="B95" s="3">
        <v>-66.4</v>
      </c>
    </row>
    <row r="96" spans="1:2">
      <c r="A96" s="42" t="s">
        <v>42</v>
      </c>
      <c r="B96" s="3">
        <v>7.69999999999993</v>
      </c>
    </row>
    <row r="97" spans="1:2">
      <c r="A97" s="42" t="s">
        <v>43</v>
      </c>
      <c r="B97" s="3">
        <v>34.9</v>
      </c>
    </row>
    <row r="98" spans="1:2">
      <c r="A98" s="42" t="s">
        <v>44</v>
      </c>
      <c r="B98" s="3">
        <v>91.4</v>
      </c>
    </row>
    <row r="99" spans="1:2">
      <c r="A99" s="42" t="s">
        <v>45</v>
      </c>
      <c r="B99" s="3">
        <v>7.39999999999998</v>
      </c>
    </row>
    <row r="100" spans="1:2">
      <c r="A100" s="42" t="s">
        <v>46</v>
      </c>
      <c r="B100" s="3">
        <v>8.40000000000003</v>
      </c>
    </row>
    <row r="101" spans="1:2">
      <c r="A101" s="42" t="s">
        <v>47</v>
      </c>
      <c r="B101" s="3">
        <v>12.4</v>
      </c>
    </row>
    <row r="102" spans="1:2">
      <c r="A102" s="42" t="s">
        <v>48</v>
      </c>
      <c r="B102" s="3">
        <v>16.8</v>
      </c>
    </row>
    <row r="103" spans="1:2">
      <c r="A103" s="42" t="s">
        <v>49</v>
      </c>
      <c r="B103" s="3">
        <v>30.9</v>
      </c>
    </row>
    <row r="104" spans="1:2">
      <c r="A104" s="42" t="s">
        <v>50</v>
      </c>
      <c r="B104" s="3">
        <v>-14.8</v>
      </c>
    </row>
    <row r="105" spans="1:1">
      <c r="A105" s="43"/>
    </row>
    <row r="106" spans="1:1">
      <c r="A106" s="44"/>
    </row>
  </sheetData>
  <pageMargins left="0.75" right="0.75" top="1" bottom="1" header="0.5" footer="0.5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K80"/>
  <sheetViews>
    <sheetView showGridLines="0" zoomScale="112" zoomScaleNormal="112" topLeftCell="E66" workbookViewId="0">
      <selection activeCell="D16" sqref="D16"/>
    </sheetView>
  </sheetViews>
  <sheetFormatPr defaultColWidth="8.88888888888889" defaultRowHeight="14.4"/>
  <cols>
    <col min="1" max="1" width="11.6666666666667"/>
    <col min="2" max="4" width="23.4444444444444"/>
    <col min="5" max="5" width="23"/>
    <col min="6" max="6" width="17.4444444444444"/>
    <col min="7" max="7" width="28.6666666666667"/>
    <col min="8" max="10" width="23.4444444444444"/>
    <col min="11" max="11" width="23"/>
    <col min="12" max="12" width="17.4444444444444"/>
    <col min="13" max="13" width="28.6666666666667"/>
    <col min="14" max="34" width="23.4444444444444"/>
    <col min="35" max="35" width="23"/>
    <col min="36" max="36" width="17.4444444444444"/>
    <col min="37" max="37" width="28.6666666666667"/>
    <col min="38" max="38" width="10.4444444444444"/>
    <col min="39" max="72" width="7.66666666666667"/>
    <col min="73" max="73" width="10.4444444444444"/>
    <col min="74" max="109" width="7.66666666666667"/>
    <col min="110" max="110" width="10.4444444444444"/>
    <col min="111" max="146" width="7.66666666666667"/>
    <col min="147" max="147" width="10.4444444444444"/>
    <col min="148" max="183" width="7.66666666666667"/>
    <col min="184" max="184" width="10.4444444444444"/>
    <col min="185" max="220" width="7.66666666666667"/>
    <col min="221" max="221" width="10.4444444444444"/>
    <col min="222" max="254" width="7.66666666666667"/>
    <col min="255" max="255" width="10.4444444444444"/>
    <col min="256" max="285" width="7.66666666666667"/>
    <col min="286" max="286" width="10.4444444444444"/>
    <col min="287" max="320" width="7.66666666666667"/>
    <col min="321" max="321" width="10.4444444444444"/>
    <col min="322" max="357" width="7.66666666666667"/>
    <col min="358" max="358" width="10.4444444444444"/>
    <col min="359" max="373" width="7.66666666666667"/>
    <col min="374" max="374" width="10.4444444444444"/>
    <col min="375" max="375" width="11.4444444444444"/>
  </cols>
  <sheetData>
    <row r="10" spans="2:3">
      <c r="B10" t="s">
        <v>1</v>
      </c>
      <c r="C10" t="s">
        <v>92</v>
      </c>
    </row>
    <row r="11" spans="2:7">
      <c r="B11">
        <v>2021</v>
      </c>
      <c r="E11" t="s">
        <v>121</v>
      </c>
      <c r="F11" t="s">
        <v>122</v>
      </c>
      <c r="G11" t="s">
        <v>123</v>
      </c>
    </row>
    <row r="12" spans="1:4">
      <c r="A12" t="s">
        <v>2</v>
      </c>
      <c r="B12" t="s">
        <v>124</v>
      </c>
      <c r="C12" t="s">
        <v>125</v>
      </c>
      <c r="D12" t="s">
        <v>126</v>
      </c>
    </row>
    <row r="13" spans="1:7">
      <c r="A13" t="s">
        <v>19</v>
      </c>
      <c r="B13">
        <v>946.6</v>
      </c>
      <c r="C13">
        <v>6239.2</v>
      </c>
      <c r="D13">
        <v>1364.4</v>
      </c>
      <c r="E13">
        <v>946.6</v>
      </c>
      <c r="F13">
        <v>6239.2</v>
      </c>
      <c r="G13">
        <v>1364.4</v>
      </c>
    </row>
    <row r="14" spans="1:7">
      <c r="A14" t="s">
        <v>20</v>
      </c>
      <c r="B14">
        <v>949.6</v>
      </c>
      <c r="C14">
        <v>6130.6</v>
      </c>
      <c r="D14">
        <v>1387.5</v>
      </c>
      <c r="E14">
        <v>949.6</v>
      </c>
      <c r="F14">
        <v>6130.6</v>
      </c>
      <c r="G14">
        <v>1387.5</v>
      </c>
    </row>
    <row r="15" spans="1:7">
      <c r="A15" t="s">
        <v>26</v>
      </c>
      <c r="B15">
        <v>945</v>
      </c>
      <c r="C15">
        <v>6129.6</v>
      </c>
      <c r="D15">
        <v>1399.2</v>
      </c>
      <c r="E15">
        <v>945</v>
      </c>
      <c r="F15">
        <v>6129.6</v>
      </c>
      <c r="G15">
        <v>1399.2</v>
      </c>
    </row>
    <row r="16" spans="1:7">
      <c r="A16" t="s">
        <v>29</v>
      </c>
      <c r="B16">
        <v>951.7</v>
      </c>
      <c r="C16">
        <v>6203.2</v>
      </c>
      <c r="D16">
        <v>1405.6</v>
      </c>
      <c r="E16">
        <v>951.7</v>
      </c>
      <c r="F16">
        <v>6203.2</v>
      </c>
      <c r="G16">
        <v>1405.6</v>
      </c>
    </row>
    <row r="17" spans="1:7">
      <c r="A17" t="s">
        <v>15</v>
      </c>
      <c r="B17">
        <v>970.7</v>
      </c>
      <c r="C17">
        <v>6325.7</v>
      </c>
      <c r="D17">
        <v>1425</v>
      </c>
      <c r="E17">
        <v>970.7</v>
      </c>
      <c r="F17">
        <v>6325.7</v>
      </c>
      <c r="G17">
        <v>1425</v>
      </c>
    </row>
    <row r="18" spans="1:7">
      <c r="A18" t="s">
        <v>30</v>
      </c>
      <c r="B18">
        <v>973</v>
      </c>
      <c r="C18">
        <v>6410.7</v>
      </c>
      <c r="D18">
        <v>1423.3</v>
      </c>
      <c r="E18">
        <v>973</v>
      </c>
      <c r="F18">
        <v>6410.7</v>
      </c>
      <c r="G18">
        <v>1423.3</v>
      </c>
    </row>
    <row r="19" spans="1:7">
      <c r="A19" t="s">
        <v>31</v>
      </c>
      <c r="B19">
        <v>979</v>
      </c>
      <c r="C19">
        <v>6451.2</v>
      </c>
      <c r="D19">
        <v>1432.2</v>
      </c>
      <c r="E19">
        <v>979</v>
      </c>
      <c r="F19">
        <v>6451.2</v>
      </c>
      <c r="G19">
        <v>1432.2</v>
      </c>
    </row>
    <row r="20" spans="1:7">
      <c r="A20" t="s">
        <v>32</v>
      </c>
      <c r="B20">
        <v>982.2</v>
      </c>
      <c r="C20">
        <v>6430.7</v>
      </c>
      <c r="D20">
        <v>1444.3</v>
      </c>
      <c r="E20">
        <v>982.2</v>
      </c>
      <c r="F20">
        <v>6430.7</v>
      </c>
      <c r="G20">
        <v>1444.3</v>
      </c>
    </row>
    <row r="21" spans="1:7">
      <c r="A21" t="s">
        <v>33</v>
      </c>
      <c r="B21">
        <v>982.9</v>
      </c>
      <c r="C21">
        <v>6433.5</v>
      </c>
      <c r="D21">
        <v>1445.5</v>
      </c>
      <c r="E21">
        <v>982.9</v>
      </c>
      <c r="F21">
        <v>6433.5</v>
      </c>
      <c r="G21">
        <v>1445.5</v>
      </c>
    </row>
    <row r="22" spans="1:7">
      <c r="A22" t="s">
        <v>34</v>
      </c>
      <c r="B22">
        <v>987.3</v>
      </c>
      <c r="C22">
        <v>6538.1</v>
      </c>
      <c r="D22">
        <v>1457.4</v>
      </c>
      <c r="E22">
        <v>987.3</v>
      </c>
      <c r="F22">
        <v>6538.1</v>
      </c>
      <c r="G22">
        <v>1457.4</v>
      </c>
    </row>
    <row r="23" spans="1:7">
      <c r="A23" t="s">
        <v>36</v>
      </c>
      <c r="B23">
        <v>993.9</v>
      </c>
      <c r="C23">
        <v>6594</v>
      </c>
      <c r="D23">
        <v>1460.8</v>
      </c>
      <c r="E23">
        <v>993.9</v>
      </c>
      <c r="F23">
        <v>6594</v>
      </c>
      <c r="G23">
        <v>1460.8</v>
      </c>
    </row>
    <row r="24" spans="1:7">
      <c r="A24" t="s">
        <v>37</v>
      </c>
      <c r="B24">
        <v>997.5</v>
      </c>
      <c r="C24">
        <v>6555.4</v>
      </c>
      <c r="D24">
        <v>1461.7</v>
      </c>
      <c r="E24">
        <v>997.5</v>
      </c>
      <c r="F24">
        <v>6555.4</v>
      </c>
      <c r="G24">
        <v>1461.7</v>
      </c>
    </row>
    <row r="25" spans="1:7">
      <c r="A25" t="s">
        <v>74</v>
      </c>
      <c r="B25">
        <v>11659.4</v>
      </c>
      <c r="C25">
        <v>76441.9</v>
      </c>
      <c r="D25">
        <v>17106.9</v>
      </c>
      <c r="E25">
        <v>11659.4</v>
      </c>
      <c r="F25">
        <v>76441.9</v>
      </c>
      <c r="G25">
        <v>17106.9</v>
      </c>
    </row>
    <row r="28" spans="1:4">
      <c r="A28" s="11" t="s">
        <v>2</v>
      </c>
      <c r="B28" s="11" t="s">
        <v>124</v>
      </c>
      <c r="C28" s="11" t="s">
        <v>125</v>
      </c>
      <c r="D28" s="11" t="s">
        <v>126</v>
      </c>
    </row>
    <row r="29" spans="1:10">
      <c r="A29" s="12" t="s">
        <v>15</v>
      </c>
      <c r="B29">
        <v>837.9</v>
      </c>
      <c r="C29">
        <v>5385.5</v>
      </c>
      <c r="D29" s="13">
        <v>1297.3</v>
      </c>
      <c r="G29" s="14"/>
      <c r="H29" s="14"/>
      <c r="I29" s="14"/>
      <c r="J29" s="14"/>
    </row>
    <row r="30" spans="1:10">
      <c r="A30" s="12" t="s">
        <v>30</v>
      </c>
      <c r="B30">
        <v>842.2</v>
      </c>
      <c r="C30">
        <v>5451.6</v>
      </c>
      <c r="D30" s="13">
        <v>1298.5</v>
      </c>
      <c r="G30" s="14"/>
      <c r="H30" s="14"/>
      <c r="I30" s="14"/>
      <c r="J30" s="14"/>
    </row>
    <row r="31" spans="1:10">
      <c r="A31" s="12" t="s">
        <v>31</v>
      </c>
      <c r="B31">
        <v>847.8</v>
      </c>
      <c r="C31">
        <v>5521.8</v>
      </c>
      <c r="D31" s="13">
        <v>1296.8</v>
      </c>
      <c r="G31" s="14"/>
      <c r="H31" s="14"/>
      <c r="I31" s="14"/>
      <c r="J31" s="14"/>
    </row>
    <row r="32" spans="1:10">
      <c r="A32" s="12" t="s">
        <v>32</v>
      </c>
      <c r="B32">
        <v>857.7</v>
      </c>
      <c r="C32">
        <v>5550.1</v>
      </c>
      <c r="D32" s="13">
        <v>1298</v>
      </c>
      <c r="G32" s="14"/>
      <c r="H32" s="14"/>
      <c r="I32" s="14"/>
      <c r="J32" s="14"/>
    </row>
    <row r="33" spans="1:4">
      <c r="A33" s="12" t="s">
        <v>33</v>
      </c>
      <c r="B33">
        <v>863.2</v>
      </c>
      <c r="C33">
        <v>5581.3</v>
      </c>
      <c r="D33" s="13">
        <v>1302.5</v>
      </c>
    </row>
    <row r="34" spans="1:4">
      <c r="A34" s="12" t="s">
        <v>34</v>
      </c>
      <c r="B34">
        <v>865.3</v>
      </c>
      <c r="C34">
        <v>5665.1</v>
      </c>
      <c r="D34" s="13">
        <v>1310.5</v>
      </c>
    </row>
    <row r="35" spans="1:4">
      <c r="A35" s="12" t="s">
        <v>36</v>
      </c>
      <c r="B35">
        <v>867.7</v>
      </c>
      <c r="C35">
        <v>5739.5</v>
      </c>
      <c r="D35" s="13">
        <v>1318.7</v>
      </c>
    </row>
    <row r="36" spans="1:5">
      <c r="A36" s="15" t="s">
        <v>37</v>
      </c>
      <c r="B36" s="16">
        <v>869.6</v>
      </c>
      <c r="C36" s="16">
        <v>5843.8</v>
      </c>
      <c r="D36" s="17">
        <v>1322.4</v>
      </c>
      <c r="E36" s="16"/>
    </row>
    <row r="37" spans="1:10">
      <c r="A37" s="12" t="s">
        <v>19</v>
      </c>
      <c r="B37">
        <v>877.6</v>
      </c>
      <c r="C37">
        <v>5824.4</v>
      </c>
      <c r="D37" s="13">
        <v>1329.8</v>
      </c>
      <c r="G37" s="18" t="s">
        <v>21</v>
      </c>
      <c r="H37" s="18" t="s">
        <v>22</v>
      </c>
      <c r="I37" s="18" t="s">
        <v>23</v>
      </c>
      <c r="J37" s="18" t="s">
        <v>24</v>
      </c>
    </row>
    <row r="38" spans="1:10">
      <c r="A38" s="12" t="s">
        <v>20</v>
      </c>
      <c r="B38">
        <v>882.6</v>
      </c>
      <c r="C38">
        <v>5738</v>
      </c>
      <c r="D38" s="13">
        <v>1341.4</v>
      </c>
      <c r="G38" s="3" t="s">
        <v>25</v>
      </c>
      <c r="H38" s="3">
        <v>1876.70333333333</v>
      </c>
      <c r="I38" s="3">
        <v>287.053333333333</v>
      </c>
      <c r="J38" s="3">
        <v>437.196666666667</v>
      </c>
    </row>
    <row r="39" spans="1:10">
      <c r="A39" s="12" t="s">
        <v>26</v>
      </c>
      <c r="B39">
        <v>889.6</v>
      </c>
      <c r="C39">
        <v>5688.5</v>
      </c>
      <c r="D39" s="13">
        <v>1345.9</v>
      </c>
      <c r="G39" s="3" t="s">
        <v>27</v>
      </c>
      <c r="H39" s="3">
        <v>1896.16666666667</v>
      </c>
      <c r="I39" s="3">
        <v>296.533333333333</v>
      </c>
      <c r="J39" s="3">
        <v>448.633333333333</v>
      </c>
    </row>
    <row r="40" spans="1:10">
      <c r="A40" s="12" t="s">
        <v>29</v>
      </c>
      <c r="B40">
        <v>885.4</v>
      </c>
      <c r="C40">
        <v>5854.1</v>
      </c>
      <c r="D40" s="13">
        <v>1332.8</v>
      </c>
      <c r="G40" s="3" t="s">
        <v>28</v>
      </c>
      <c r="H40" s="3">
        <v>2030.52121212121</v>
      </c>
      <c r="I40" s="3">
        <v>310.515151515152</v>
      </c>
      <c r="J40" s="3">
        <v>450.4</v>
      </c>
    </row>
    <row r="41" spans="1:10">
      <c r="A41" s="12" t="s">
        <v>30</v>
      </c>
      <c r="B41">
        <v>915.7</v>
      </c>
      <c r="C41">
        <v>5912.8</v>
      </c>
      <c r="D41" s="13">
        <v>1326.5</v>
      </c>
      <c r="G41" s="19" t="s">
        <v>127</v>
      </c>
      <c r="H41" s="19">
        <f>((H40-H38)/H38)*100</f>
        <v>8.19617443289094</v>
      </c>
      <c r="I41" s="19">
        <f>((I40-I38)/I39)*100</f>
        <v>7.91203400915634</v>
      </c>
      <c r="J41" s="19">
        <f>((J40-J38)/J38)*100</f>
        <v>3.01999862761989</v>
      </c>
    </row>
    <row r="42" spans="1:4">
      <c r="A42" s="12" t="s">
        <v>31</v>
      </c>
      <c r="B42">
        <v>915.7</v>
      </c>
      <c r="C42">
        <v>5912.8</v>
      </c>
      <c r="D42" s="13">
        <v>1326.5</v>
      </c>
    </row>
    <row r="43" spans="1:4">
      <c r="A43" s="12" t="s">
        <v>32</v>
      </c>
      <c r="B43">
        <v>925.6</v>
      </c>
      <c r="C43">
        <v>5998.7</v>
      </c>
      <c r="D43" s="13">
        <v>1338.4</v>
      </c>
    </row>
    <row r="44" spans="1:4">
      <c r="A44" s="12" t="s">
        <v>33</v>
      </c>
      <c r="B44">
        <v>940.3</v>
      </c>
      <c r="C44">
        <v>6036</v>
      </c>
      <c r="D44" s="13">
        <v>1341.1</v>
      </c>
    </row>
    <row r="45" spans="1:4">
      <c r="A45" s="12" t="s">
        <v>34</v>
      </c>
      <c r="B45">
        <v>938.1</v>
      </c>
      <c r="C45">
        <v>6159.7</v>
      </c>
      <c r="D45" s="13">
        <v>1342.3</v>
      </c>
    </row>
    <row r="46" spans="1:4">
      <c r="A46" s="12" t="s">
        <v>36</v>
      </c>
      <c r="B46">
        <v>940.6</v>
      </c>
      <c r="C46">
        <v>6298.7</v>
      </c>
      <c r="D46" s="13">
        <v>1349.5</v>
      </c>
    </row>
    <row r="47" spans="1:5">
      <c r="A47" s="15" t="s">
        <v>37</v>
      </c>
      <c r="B47" s="16">
        <v>944.4</v>
      </c>
      <c r="C47" s="16">
        <v>6335</v>
      </c>
      <c r="D47" s="17">
        <v>1355</v>
      </c>
      <c r="E47" s="16"/>
    </row>
    <row r="48" spans="1:4">
      <c r="A48" s="12" t="s">
        <v>19</v>
      </c>
      <c r="B48">
        <v>946.6</v>
      </c>
      <c r="C48">
        <v>6239.2</v>
      </c>
      <c r="D48" s="13">
        <v>1364.4</v>
      </c>
    </row>
    <row r="49" spans="1:4">
      <c r="A49" s="12" t="s">
        <v>20</v>
      </c>
      <c r="B49">
        <v>949.6</v>
      </c>
      <c r="C49">
        <v>6130.6</v>
      </c>
      <c r="D49" s="13">
        <v>1387.5</v>
      </c>
    </row>
    <row r="50" ht="15.15" spans="1:4">
      <c r="A50" s="20" t="s">
        <v>26</v>
      </c>
      <c r="B50" s="21">
        <v>945</v>
      </c>
      <c r="C50" s="21">
        <v>6129.6</v>
      </c>
      <c r="D50" s="22">
        <v>1399.2</v>
      </c>
    </row>
    <row r="59" spans="1:4">
      <c r="A59" s="11" t="s">
        <v>2</v>
      </c>
      <c r="B59" s="23" t="s">
        <v>9</v>
      </c>
      <c r="C59" s="23" t="s">
        <v>3</v>
      </c>
      <c r="D59" s="23" t="s">
        <v>18</v>
      </c>
    </row>
    <row r="60" spans="1:4">
      <c r="A60" s="12" t="s">
        <v>30</v>
      </c>
      <c r="B60" s="24">
        <f>((B30-B29)/B29)*100</f>
        <v>0.513187731232852</v>
      </c>
      <c r="C60" s="24">
        <f>((C30-C29)/C29)*100</f>
        <v>1.22736978924892</v>
      </c>
      <c r="D60" s="25">
        <f>((D30-D29)/D29)*100</f>
        <v>0.0924998072920716</v>
      </c>
    </row>
    <row r="61" spans="1:4">
      <c r="A61" s="12" t="s">
        <v>31</v>
      </c>
      <c r="B61" s="24">
        <f t="shared" ref="B61:B80" si="0">((B31-B30)/B30)*100</f>
        <v>0.664925195915449</v>
      </c>
      <c r="C61" s="24">
        <f t="shared" ref="C61:C80" si="1">((C31-C30)/C30)*100</f>
        <v>1.28769535549196</v>
      </c>
      <c r="D61" s="25">
        <f t="shared" ref="D61:D80" si="2">((D31-D30)/D30)*100</f>
        <v>-0.130920292645364</v>
      </c>
    </row>
    <row r="62" spans="1:4">
      <c r="A62" s="12" t="s">
        <v>32</v>
      </c>
      <c r="B62" s="24">
        <f t="shared" si="0"/>
        <v>1.16772823779194</v>
      </c>
      <c r="C62" s="24">
        <f t="shared" si="1"/>
        <v>0.512514035278355</v>
      </c>
      <c r="D62" s="25">
        <f t="shared" si="2"/>
        <v>0.0925354719309104</v>
      </c>
    </row>
    <row r="63" spans="1:4">
      <c r="A63" s="12" t="s">
        <v>33</v>
      </c>
      <c r="B63" s="24">
        <f t="shared" si="0"/>
        <v>0.641249854261397</v>
      </c>
      <c r="C63" s="24">
        <f t="shared" si="1"/>
        <v>0.562152033296694</v>
      </c>
      <c r="D63" s="25">
        <f t="shared" si="2"/>
        <v>0.346687211093991</v>
      </c>
    </row>
    <row r="64" spans="1:4">
      <c r="A64" s="12" t="s">
        <v>34</v>
      </c>
      <c r="B64" s="24">
        <f t="shared" si="0"/>
        <v>0.243280815569962</v>
      </c>
      <c r="C64" s="24">
        <f t="shared" si="1"/>
        <v>1.50144231630624</v>
      </c>
      <c r="D64" s="25">
        <f t="shared" si="2"/>
        <v>0.614203454894434</v>
      </c>
    </row>
    <row r="65" spans="1:4">
      <c r="A65" s="12" t="s">
        <v>36</v>
      </c>
      <c r="B65" s="24">
        <f t="shared" si="0"/>
        <v>0.277360453022084</v>
      </c>
      <c r="C65" s="24">
        <f t="shared" si="1"/>
        <v>1.31330426647367</v>
      </c>
      <c r="D65" s="25">
        <f t="shared" si="2"/>
        <v>0.625715375810763</v>
      </c>
    </row>
    <row r="66" spans="1:4">
      <c r="A66" s="15" t="s">
        <v>37</v>
      </c>
      <c r="B66" s="26">
        <f t="shared" si="0"/>
        <v>0.218969689985015</v>
      </c>
      <c r="C66" s="26">
        <f t="shared" si="1"/>
        <v>1.81723146615559</v>
      </c>
      <c r="D66" s="27">
        <f t="shared" si="2"/>
        <v>0.280579358459092</v>
      </c>
    </row>
    <row r="67" spans="1:4">
      <c r="A67" s="12" t="s">
        <v>19</v>
      </c>
      <c r="B67" s="24">
        <f t="shared" si="0"/>
        <v>0.919963201471941</v>
      </c>
      <c r="C67" s="24">
        <f t="shared" si="1"/>
        <v>-0.331975769191289</v>
      </c>
      <c r="D67" s="25">
        <f t="shared" si="2"/>
        <v>0.559588626739252</v>
      </c>
    </row>
    <row r="68" spans="1:4">
      <c r="A68" s="12" t="s">
        <v>20</v>
      </c>
      <c r="B68" s="24">
        <f t="shared" si="0"/>
        <v>0.569735642661805</v>
      </c>
      <c r="C68" s="24">
        <f t="shared" si="1"/>
        <v>-1.48341460064555</v>
      </c>
      <c r="D68" s="25">
        <f t="shared" si="2"/>
        <v>0.872311625808403</v>
      </c>
    </row>
    <row r="69" spans="1:4">
      <c r="A69" s="12" t="s">
        <v>26</v>
      </c>
      <c r="B69" s="24">
        <f t="shared" si="0"/>
        <v>0.793111262179923</v>
      </c>
      <c r="C69" s="24">
        <f t="shared" si="1"/>
        <v>-0.862669919832694</v>
      </c>
      <c r="D69" s="25">
        <f t="shared" si="2"/>
        <v>0.335470404055464</v>
      </c>
    </row>
    <row r="70" spans="1:4">
      <c r="A70" s="12" t="s">
        <v>29</v>
      </c>
      <c r="B70" s="24">
        <f t="shared" si="0"/>
        <v>-0.472122302158278</v>
      </c>
      <c r="C70" s="24">
        <f t="shared" si="1"/>
        <v>2.91113650347192</v>
      </c>
      <c r="D70" s="25">
        <f t="shared" si="2"/>
        <v>-0.973326398692335</v>
      </c>
    </row>
    <row r="71" spans="1:4">
      <c r="A71" s="12" t="s">
        <v>30</v>
      </c>
      <c r="B71" s="24">
        <f t="shared" si="0"/>
        <v>3.42218206460358</v>
      </c>
      <c r="C71" s="24">
        <f t="shared" si="1"/>
        <v>1.00271604516492</v>
      </c>
      <c r="D71" s="25">
        <f t="shared" si="2"/>
        <v>-0.472689075630249</v>
      </c>
    </row>
    <row r="72" spans="1:4">
      <c r="A72" s="12" t="s">
        <v>31</v>
      </c>
      <c r="B72" s="24">
        <f t="shared" si="0"/>
        <v>0</v>
      </c>
      <c r="C72" s="24">
        <f t="shared" si="1"/>
        <v>0</v>
      </c>
      <c r="D72" s="25">
        <f t="shared" si="2"/>
        <v>0</v>
      </c>
    </row>
    <row r="73" spans="1:4">
      <c r="A73" s="12" t="s">
        <v>32</v>
      </c>
      <c r="B73" s="24">
        <f t="shared" si="0"/>
        <v>1.08114011139019</v>
      </c>
      <c r="C73" s="24">
        <f t="shared" si="1"/>
        <v>1.45278040860505</v>
      </c>
      <c r="D73" s="25">
        <f t="shared" si="2"/>
        <v>0.897097625329822</v>
      </c>
    </row>
    <row r="74" spans="1:4">
      <c r="A74" s="12" t="s">
        <v>33</v>
      </c>
      <c r="B74" s="24">
        <f t="shared" si="0"/>
        <v>1.58815903197925</v>
      </c>
      <c r="C74" s="24">
        <f t="shared" si="1"/>
        <v>0.621801390301235</v>
      </c>
      <c r="D74" s="25">
        <f t="shared" si="2"/>
        <v>0.201733413030471</v>
      </c>
    </row>
    <row r="75" spans="1:4">
      <c r="A75" s="12" t="s">
        <v>34</v>
      </c>
      <c r="B75" s="24">
        <f t="shared" si="0"/>
        <v>-0.233967882590655</v>
      </c>
      <c r="C75" s="24">
        <f t="shared" si="1"/>
        <v>2.04937044400265</v>
      </c>
      <c r="D75" s="25">
        <f t="shared" si="2"/>
        <v>0.089478786071139</v>
      </c>
    </row>
    <row r="76" spans="1:4">
      <c r="A76" s="12" t="s">
        <v>36</v>
      </c>
      <c r="B76" s="24">
        <f t="shared" si="0"/>
        <v>0.266496109156806</v>
      </c>
      <c r="C76" s="24">
        <f t="shared" si="1"/>
        <v>2.25660340601003</v>
      </c>
      <c r="D76" s="25">
        <f t="shared" si="2"/>
        <v>0.536392758697761</v>
      </c>
    </row>
    <row r="77" spans="1:4">
      <c r="A77" s="15" t="s">
        <v>37</v>
      </c>
      <c r="B77" s="26">
        <f t="shared" si="0"/>
        <v>0.403997448437163</v>
      </c>
      <c r="C77" s="26">
        <f t="shared" si="1"/>
        <v>0.576309397177198</v>
      </c>
      <c r="D77" s="27">
        <f t="shared" si="2"/>
        <v>0.407558354946276</v>
      </c>
    </row>
    <row r="78" spans="1:4">
      <c r="A78" s="12" t="s">
        <v>19</v>
      </c>
      <c r="B78" s="24">
        <f t="shared" si="0"/>
        <v>0.23295213892419</v>
      </c>
      <c r="C78" s="24">
        <f t="shared" si="1"/>
        <v>-1.51223362273086</v>
      </c>
      <c r="D78" s="25">
        <f t="shared" si="2"/>
        <v>0.693726937269379</v>
      </c>
    </row>
    <row r="79" spans="1:4">
      <c r="A79" s="12" t="s">
        <v>20</v>
      </c>
      <c r="B79" s="24">
        <f t="shared" si="0"/>
        <v>0.31692372702303</v>
      </c>
      <c r="C79" s="24">
        <f t="shared" si="1"/>
        <v>-1.74060777022694</v>
      </c>
      <c r="D79" s="25">
        <f t="shared" si="2"/>
        <v>1.69305189094107</v>
      </c>
    </row>
    <row r="80" ht="15.15" spans="1:11">
      <c r="A80" s="20" t="s">
        <v>26</v>
      </c>
      <c r="B80" s="28">
        <f t="shared" si="0"/>
        <v>-0.484414490311713</v>
      </c>
      <c r="C80" s="28">
        <f t="shared" si="1"/>
        <v>-0.0163116171337226</v>
      </c>
      <c r="D80" s="29">
        <f t="shared" si="2"/>
        <v>0.843243243243247</v>
      </c>
      <c r="I80" s="10" t="s">
        <v>128</v>
      </c>
      <c r="J80" s="10"/>
      <c r="K80" s="10"/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S61"/>
  <sheetViews>
    <sheetView showGridLines="0" zoomScale="69" zoomScaleNormal="69" topLeftCell="E30" workbookViewId="0">
      <selection activeCell="B34" sqref="B34"/>
    </sheetView>
  </sheetViews>
  <sheetFormatPr defaultColWidth="8.88888888888889" defaultRowHeight="14.4"/>
  <cols>
    <col min="1" max="1" width="20.5555555555556"/>
    <col min="2" max="2" width="14.1111111111111"/>
    <col min="3" max="3" width="12.8888888888889"/>
    <col min="4" max="4" width="14.1111111111111"/>
    <col min="5" max="5" width="18" customWidth="1"/>
    <col min="6" max="6" width="11.4444444444444"/>
    <col min="7" max="7" width="11.6666666666667"/>
    <col min="8" max="9" width="23.4444444444444"/>
    <col min="10" max="10" width="34.3333333333333" customWidth="1"/>
    <col min="11" max="16" width="23.4444444444444"/>
    <col min="17" max="17" width="17.4444444444444"/>
    <col min="18" max="18" width="23"/>
    <col min="19" max="19" width="28.6666666666667"/>
    <col min="20" max="20" width="17.4444444444444"/>
    <col min="21" max="21" width="23"/>
    <col min="22" max="22" width="28.6666666666667"/>
    <col min="23" max="23" width="11"/>
    <col min="24" max="24" width="8.56481481481481"/>
    <col min="25" max="25" width="11"/>
    <col min="26" max="26" width="8.56481481481481"/>
    <col min="27" max="27" width="11"/>
    <col min="28" max="28" width="8.56481481481481"/>
    <col min="29" max="29" width="11"/>
    <col min="30" max="30" width="8.56481481481481"/>
    <col min="31" max="31" width="11"/>
    <col min="32" max="32" width="8.56481481481481"/>
    <col min="33" max="33" width="11"/>
    <col min="34" max="34" width="8.56481481481481"/>
    <col min="35" max="35" width="11"/>
    <col min="36" max="36" width="8.56481481481481"/>
    <col min="37" max="37" width="11"/>
    <col min="38" max="38" width="8.56481481481481"/>
    <col min="39" max="39" width="11"/>
    <col min="40" max="40" width="8.56481481481481"/>
    <col min="41" max="41" width="11"/>
    <col min="42" max="42" width="8.56481481481481"/>
    <col min="43" max="43" width="11"/>
    <col min="44" max="44" width="8.56481481481481"/>
    <col min="45" max="45" width="11"/>
    <col min="46" max="47" width="8.56481481481481"/>
    <col min="48" max="48" width="11"/>
    <col min="49" max="49" width="8.56481481481481"/>
    <col min="50" max="50" width="11"/>
    <col min="51" max="51" width="8.56481481481481"/>
    <col min="52" max="52" width="11"/>
    <col min="53" max="53" width="8.56481481481481"/>
    <col min="54" max="54" width="11"/>
    <col min="55" max="55" width="8.56481481481481"/>
    <col min="56" max="56" width="11"/>
    <col min="57" max="57" width="8.56481481481481"/>
    <col min="58" max="58" width="11"/>
    <col min="59" max="59" width="8.56481481481481"/>
    <col min="60" max="60" width="11"/>
    <col min="61" max="61" width="7.66666666666667"/>
    <col min="62" max="62" width="9.33333333333333"/>
    <col min="63" max="63" width="8.56481481481481"/>
    <col min="64" max="64" width="11"/>
    <col min="65" max="65" width="8.56481481481481"/>
    <col min="66" max="66" width="11"/>
    <col min="67" max="67" width="8.56481481481481"/>
    <col min="68" max="68" width="11"/>
    <col min="69" max="69" width="8.56481481481481"/>
    <col min="70" max="70" width="11"/>
    <col min="71" max="71" width="8.56481481481481"/>
    <col min="72" max="72" width="11"/>
    <col min="73" max="73" width="8.56481481481481"/>
    <col min="74" max="74" width="11"/>
    <col min="75" max="75" width="8.56481481481481"/>
    <col min="76" max="76" width="11"/>
    <col min="77" max="77" width="8.56481481481481"/>
    <col min="78" max="78" width="11"/>
    <col min="79" max="79" width="8.56481481481481"/>
    <col min="80" max="80" width="11"/>
    <col min="81" max="81" width="7.66666666666667"/>
    <col min="82" max="82" width="9.33333333333333"/>
    <col min="83" max="83" width="8.56481481481481"/>
    <col min="84" max="84" width="11"/>
    <col min="85" max="85" width="7.66666666666667"/>
    <col min="86" max="86" width="9.33333333333333"/>
    <col min="87" max="87" width="8.56481481481481"/>
    <col min="88" max="88" width="11"/>
    <col min="89" max="89" width="8.56481481481481"/>
    <col min="90" max="90" width="11"/>
    <col min="91" max="91" width="8.56481481481481"/>
    <col min="92" max="92" width="11"/>
    <col min="93" max="93" width="8.56481481481481"/>
    <col min="94" max="94" width="11"/>
    <col min="95" max="95" width="8.56481481481481"/>
    <col min="96" max="96" width="11"/>
    <col min="97" max="97" width="8.56481481481481"/>
    <col min="98" max="98" width="11"/>
    <col min="99" max="99" width="8.56481481481481"/>
    <col min="100" max="100" width="11"/>
    <col min="101" max="101" width="8.56481481481481"/>
    <col min="102" max="102" width="11"/>
    <col min="103" max="103" width="8.56481481481481"/>
    <col min="104" max="104" width="11"/>
    <col min="105" max="105" width="8.56481481481481"/>
    <col min="106" max="106" width="11"/>
    <col min="107" max="107" width="8.56481481481481"/>
    <col min="108" max="108" width="11"/>
    <col min="109" max="109" width="8.56481481481481"/>
    <col min="110" max="110" width="11"/>
    <col min="111" max="111" width="7.66666666666667"/>
    <col min="112" max="112" width="9.33333333333333"/>
    <col min="113" max="113" width="7.66666666666667"/>
    <col min="114" max="114" width="9.33333333333333"/>
    <col min="115" max="115" width="7.66666666666667"/>
    <col min="116" max="116" width="9.33333333333333"/>
    <col min="117" max="117" width="8.56481481481481"/>
    <col min="118" max="118" width="11"/>
    <col min="119" max="119" width="8.56481481481481"/>
    <col min="120" max="120" width="11"/>
    <col min="121" max="121" width="8.56481481481481"/>
    <col min="122" max="122" width="11"/>
    <col min="123" max="123" width="7.66666666666667"/>
    <col min="124" max="124" width="9.33333333333333"/>
    <col min="125" max="125" width="8.56481481481481"/>
    <col min="126" max="126" width="11"/>
    <col min="127" max="127" width="8.56481481481481"/>
    <col min="128" max="128" width="11"/>
    <col min="129" max="129" width="8.56481481481481"/>
    <col min="130" max="130" width="11"/>
    <col min="131" max="131" width="8.56481481481481"/>
    <col min="132" max="132" width="11"/>
    <col min="133" max="133" width="8.56481481481481"/>
    <col min="134" max="134" width="11"/>
    <col min="135" max="135" width="8.56481481481481"/>
    <col min="136" max="136" width="11"/>
    <col min="137" max="137" width="8.56481481481481"/>
    <col min="138" max="138" width="11"/>
    <col min="139" max="139" width="8.56481481481481"/>
    <col min="140" max="140" width="11"/>
    <col min="141" max="141" width="8.56481481481481"/>
    <col min="142" max="142" width="11"/>
    <col min="143" max="143" width="8.56481481481481"/>
    <col min="144" max="144" width="11"/>
    <col min="145" max="145" width="8.56481481481481"/>
    <col min="146" max="146" width="11"/>
    <col min="147" max="147" width="8.56481481481481"/>
    <col min="148" max="148" width="11"/>
    <col min="149" max="149" width="8.56481481481481"/>
    <col min="150" max="150" width="11"/>
    <col min="151" max="151" width="7.66666666666667"/>
    <col min="152" max="152" width="9.33333333333333"/>
    <col min="153" max="153" width="8.56481481481481"/>
    <col min="154" max="154" width="11"/>
    <col min="155" max="155" width="7.66666666666667"/>
    <col min="156" max="156" width="9.33333333333333"/>
    <col min="157" max="157" width="8.56481481481481"/>
    <col min="158" max="158" width="11"/>
    <col min="159" max="159" width="8.56481481481481"/>
    <col min="160" max="160" width="11"/>
    <col min="161" max="161" width="8.56481481481481"/>
    <col min="162" max="162" width="11"/>
    <col min="163" max="163" width="11.4444444444444"/>
  </cols>
  <sheetData>
    <row r="10" spans="1:9">
      <c r="A10" t="s">
        <v>129</v>
      </c>
      <c r="B10" t="s">
        <v>1</v>
      </c>
      <c r="H10" t="s">
        <v>1</v>
      </c>
      <c r="I10" t="s">
        <v>92</v>
      </c>
    </row>
    <row r="11" spans="1:19">
      <c r="A11" t="s">
        <v>2</v>
      </c>
      <c r="B11">
        <v>2021</v>
      </c>
      <c r="C11">
        <v>2022</v>
      </c>
      <c r="D11">
        <v>2023</v>
      </c>
      <c r="E11" t="s">
        <v>74</v>
      </c>
      <c r="H11">
        <v>2021</v>
      </c>
      <c r="K11">
        <v>2022</v>
      </c>
      <c r="N11">
        <v>2023</v>
      </c>
      <c r="Q11" t="s">
        <v>122</v>
      </c>
      <c r="R11" t="s">
        <v>121</v>
      </c>
      <c r="S11" t="s">
        <v>123</v>
      </c>
    </row>
    <row r="12" spans="1:16">
      <c r="A12" t="s">
        <v>19</v>
      </c>
      <c r="B12">
        <v>441.7</v>
      </c>
      <c r="C12">
        <v>491.6</v>
      </c>
      <c r="D12">
        <v>545.3</v>
      </c>
      <c r="E12">
        <v>1478.6</v>
      </c>
      <c r="G12" t="s">
        <v>2</v>
      </c>
      <c r="H12" t="s">
        <v>125</v>
      </c>
      <c r="I12" t="s">
        <v>124</v>
      </c>
      <c r="J12" t="s">
        <v>126</v>
      </c>
      <c r="K12" t="s">
        <v>125</v>
      </c>
      <c r="L12" t="s">
        <v>124</v>
      </c>
      <c r="M12" t="s">
        <v>126</v>
      </c>
      <c r="N12" t="s">
        <v>125</v>
      </c>
      <c r="O12" t="s">
        <v>124</v>
      </c>
      <c r="P12" t="s">
        <v>126</v>
      </c>
    </row>
    <row r="13" spans="1:19">
      <c r="A13" t="s">
        <v>20</v>
      </c>
      <c r="B13">
        <v>455.9</v>
      </c>
      <c r="C13">
        <v>496.1</v>
      </c>
      <c r="D13">
        <v>546.5</v>
      </c>
      <c r="E13">
        <v>1498.5</v>
      </c>
      <c r="G13" t="s">
        <v>19</v>
      </c>
      <c r="H13">
        <v>6239.2</v>
      </c>
      <c r="I13">
        <v>946.6</v>
      </c>
      <c r="J13">
        <v>1364.4</v>
      </c>
      <c r="K13">
        <v>6503.9</v>
      </c>
      <c r="L13">
        <v>1001.2</v>
      </c>
      <c r="M13">
        <v>1467.9</v>
      </c>
      <c r="N13">
        <v>6886.1</v>
      </c>
      <c r="O13">
        <v>1081.3</v>
      </c>
      <c r="P13">
        <v>1579.7</v>
      </c>
      <c r="Q13">
        <v>19629.2</v>
      </c>
      <c r="R13">
        <v>3029.1</v>
      </c>
      <c r="S13">
        <v>4412</v>
      </c>
    </row>
    <row r="14" spans="1:19">
      <c r="A14" t="s">
        <v>26</v>
      </c>
      <c r="B14">
        <v>466.3</v>
      </c>
      <c r="C14">
        <v>500.6</v>
      </c>
      <c r="D14">
        <v>545.9</v>
      </c>
      <c r="E14">
        <v>1512.8</v>
      </c>
      <c r="G14" t="s">
        <v>20</v>
      </c>
      <c r="H14">
        <v>6130.6</v>
      </c>
      <c r="I14">
        <v>949.6</v>
      </c>
      <c r="J14">
        <v>1387.5</v>
      </c>
      <c r="K14">
        <v>6495.1</v>
      </c>
      <c r="L14">
        <v>1007.8</v>
      </c>
      <c r="M14">
        <v>1477.5</v>
      </c>
      <c r="N14">
        <v>6848</v>
      </c>
      <c r="O14">
        <v>1094.9</v>
      </c>
      <c r="P14">
        <v>1589</v>
      </c>
      <c r="Q14">
        <v>19473.7</v>
      </c>
      <c r="R14">
        <v>3052.3</v>
      </c>
      <c r="S14">
        <v>4454</v>
      </c>
    </row>
    <row r="15" spans="1:19">
      <c r="A15" t="s">
        <v>29</v>
      </c>
      <c r="B15">
        <v>466.5</v>
      </c>
      <c r="C15">
        <v>516</v>
      </c>
      <c r="D15">
        <v>545.3</v>
      </c>
      <c r="E15">
        <v>1527.8</v>
      </c>
      <c r="G15" t="s">
        <v>26</v>
      </c>
      <c r="H15">
        <v>6129.6</v>
      </c>
      <c r="I15">
        <v>945</v>
      </c>
      <c r="J15">
        <v>1399.2</v>
      </c>
      <c r="K15">
        <v>6559.6</v>
      </c>
      <c r="L15">
        <v>1018.6</v>
      </c>
      <c r="M15">
        <v>1484.4</v>
      </c>
      <c r="N15">
        <v>6848.4</v>
      </c>
      <c r="O15">
        <v>1095</v>
      </c>
      <c r="P15">
        <v>1588.4</v>
      </c>
      <c r="Q15">
        <v>19537.6</v>
      </c>
      <c r="R15">
        <v>3058.6</v>
      </c>
      <c r="S15">
        <v>4472</v>
      </c>
    </row>
    <row r="16" spans="1:19">
      <c r="A16" t="s">
        <v>15</v>
      </c>
      <c r="B16">
        <v>476.6</v>
      </c>
      <c r="C16">
        <v>523.4</v>
      </c>
      <c r="D16">
        <v>548.7</v>
      </c>
      <c r="E16">
        <v>1548.7</v>
      </c>
      <c r="G16" t="s">
        <v>29</v>
      </c>
      <c r="H16">
        <v>6203.2</v>
      </c>
      <c r="I16">
        <v>951.7</v>
      </c>
      <c r="J16">
        <v>1405.6</v>
      </c>
      <c r="K16">
        <v>6651.3</v>
      </c>
      <c r="L16">
        <v>1026.2</v>
      </c>
      <c r="M16">
        <v>1508.5</v>
      </c>
      <c r="N16">
        <v>6881.5</v>
      </c>
      <c r="O16">
        <v>1105.9</v>
      </c>
      <c r="P16">
        <v>1594.2</v>
      </c>
      <c r="Q16">
        <v>19736</v>
      </c>
      <c r="R16">
        <v>3083.8</v>
      </c>
      <c r="S16">
        <v>4508.3</v>
      </c>
    </row>
    <row r="17" spans="1:19">
      <c r="A17" t="s">
        <v>30</v>
      </c>
      <c r="B17">
        <v>478</v>
      </c>
      <c r="C17">
        <v>527.6</v>
      </c>
      <c r="E17">
        <v>1005.6</v>
      </c>
      <c r="G17" t="s">
        <v>15</v>
      </c>
      <c r="H17">
        <v>6325.7</v>
      </c>
      <c r="I17">
        <v>970.7</v>
      </c>
      <c r="J17">
        <v>1425</v>
      </c>
      <c r="K17">
        <v>6727.9</v>
      </c>
      <c r="L17">
        <v>1027.7</v>
      </c>
      <c r="M17">
        <v>1521.1</v>
      </c>
      <c r="N17">
        <v>6932.7</v>
      </c>
      <c r="O17">
        <v>1111.4</v>
      </c>
      <c r="P17">
        <v>1600.6</v>
      </c>
      <c r="Q17">
        <v>19986.3</v>
      </c>
      <c r="R17">
        <v>3109.8</v>
      </c>
      <c r="S17">
        <v>4546.7</v>
      </c>
    </row>
    <row r="18" spans="1:19">
      <c r="A18" t="s">
        <v>31</v>
      </c>
      <c r="B18">
        <v>480.9</v>
      </c>
      <c r="C18">
        <v>538.7</v>
      </c>
      <c r="E18">
        <v>1019.6</v>
      </c>
      <c r="G18" t="s">
        <v>30</v>
      </c>
      <c r="H18">
        <v>6410.7</v>
      </c>
      <c r="I18">
        <v>973</v>
      </c>
      <c r="J18">
        <v>1423.3</v>
      </c>
      <c r="K18">
        <v>6797.7</v>
      </c>
      <c r="L18">
        <v>1032.6</v>
      </c>
      <c r="M18">
        <v>1526.8</v>
      </c>
      <c r="Q18">
        <v>13208.4</v>
      </c>
      <c r="R18">
        <v>2005.6</v>
      </c>
      <c r="S18">
        <v>2950.1</v>
      </c>
    </row>
    <row r="19" spans="1:19">
      <c r="A19" t="s">
        <v>32</v>
      </c>
      <c r="B19">
        <v>486.4</v>
      </c>
      <c r="C19">
        <v>536.3</v>
      </c>
      <c r="E19">
        <v>1022.7</v>
      </c>
      <c r="G19" t="s">
        <v>31</v>
      </c>
      <c r="H19">
        <v>6451.2</v>
      </c>
      <c r="I19">
        <v>979</v>
      </c>
      <c r="J19">
        <v>1432.2</v>
      </c>
      <c r="K19">
        <v>6810.4</v>
      </c>
      <c r="L19">
        <v>1035.8</v>
      </c>
      <c r="M19">
        <v>1543.9</v>
      </c>
      <c r="Q19">
        <v>13261.6</v>
      </c>
      <c r="R19">
        <v>2014.8</v>
      </c>
      <c r="S19">
        <v>2976.1</v>
      </c>
    </row>
    <row r="20" spans="1:19">
      <c r="A20" t="s">
        <v>33</v>
      </c>
      <c r="B20">
        <v>487.1</v>
      </c>
      <c r="C20">
        <v>538.4</v>
      </c>
      <c r="E20">
        <v>1025.5</v>
      </c>
      <c r="G20" t="s">
        <v>32</v>
      </c>
      <c r="H20">
        <v>6430.7</v>
      </c>
      <c r="I20">
        <v>982.2</v>
      </c>
      <c r="J20">
        <v>1444.3</v>
      </c>
      <c r="K20">
        <v>6818.7</v>
      </c>
      <c r="L20">
        <v>1042.5</v>
      </c>
      <c r="M20">
        <v>1548.3</v>
      </c>
      <c r="Q20">
        <v>13249.4</v>
      </c>
      <c r="R20">
        <v>2024.7</v>
      </c>
      <c r="S20">
        <v>2992.6</v>
      </c>
    </row>
    <row r="21" spans="1:19">
      <c r="A21" t="s">
        <v>34</v>
      </c>
      <c r="B21">
        <v>491.9</v>
      </c>
      <c r="C21">
        <v>541.3</v>
      </c>
      <c r="E21">
        <v>1033.2</v>
      </c>
      <c r="G21" t="s">
        <v>33</v>
      </c>
      <c r="H21">
        <v>6433.5</v>
      </c>
      <c r="I21">
        <v>982.9</v>
      </c>
      <c r="J21">
        <v>1445.5</v>
      </c>
      <c r="K21">
        <v>6855.1</v>
      </c>
      <c r="L21">
        <v>1044.6</v>
      </c>
      <c r="M21">
        <v>1555</v>
      </c>
      <c r="Q21">
        <v>13288.6</v>
      </c>
      <c r="R21">
        <v>2027.5</v>
      </c>
      <c r="S21">
        <v>3000.5</v>
      </c>
    </row>
    <row r="22" spans="1:19">
      <c r="A22" t="s">
        <v>36</v>
      </c>
      <c r="B22">
        <v>490.8</v>
      </c>
      <c r="C22">
        <v>543.5</v>
      </c>
      <c r="E22">
        <v>1034.3</v>
      </c>
      <c r="G22" t="s">
        <v>34</v>
      </c>
      <c r="H22">
        <v>6538.1</v>
      </c>
      <c r="I22">
        <v>987.3</v>
      </c>
      <c r="J22">
        <v>1457.4</v>
      </c>
      <c r="K22">
        <v>6904.1</v>
      </c>
      <c r="L22">
        <v>1051</v>
      </c>
      <c r="M22">
        <v>1565.7</v>
      </c>
      <c r="Q22">
        <v>13442.2</v>
      </c>
      <c r="R22">
        <v>2038.3</v>
      </c>
      <c r="S22">
        <v>3023.1</v>
      </c>
    </row>
    <row r="23" spans="1:19">
      <c r="A23" t="s">
        <v>37</v>
      </c>
      <c r="B23">
        <v>491.4</v>
      </c>
      <c r="C23">
        <v>545.4</v>
      </c>
      <c r="E23">
        <v>1036.8</v>
      </c>
      <c r="G23" t="s">
        <v>36</v>
      </c>
      <c r="H23">
        <v>6594</v>
      </c>
      <c r="I23">
        <v>993.9</v>
      </c>
      <c r="J23">
        <v>1460.8</v>
      </c>
      <c r="K23">
        <v>6898.9</v>
      </c>
      <c r="L23">
        <v>1058.7</v>
      </c>
      <c r="M23">
        <v>1572.7</v>
      </c>
      <c r="Q23">
        <v>13492.9</v>
      </c>
      <c r="R23">
        <v>2052.6</v>
      </c>
      <c r="S23">
        <v>3033.5</v>
      </c>
    </row>
    <row r="24" spans="1:19">
      <c r="A24" t="s">
        <v>74</v>
      </c>
      <c r="B24">
        <v>5713.5</v>
      </c>
      <c r="C24">
        <v>6298.9</v>
      </c>
      <c r="D24">
        <v>2731.7</v>
      </c>
      <c r="E24">
        <v>14744.1</v>
      </c>
      <c r="G24" t="s">
        <v>37</v>
      </c>
      <c r="H24">
        <v>6555.4</v>
      </c>
      <c r="I24">
        <v>997.5</v>
      </c>
      <c r="J24">
        <v>1461.7</v>
      </c>
      <c r="K24">
        <v>6856.3</v>
      </c>
      <c r="L24">
        <v>1069.3</v>
      </c>
      <c r="M24">
        <v>1573.3</v>
      </c>
      <c r="Q24">
        <v>13411.7</v>
      </c>
      <c r="R24">
        <v>2066.8</v>
      </c>
      <c r="S24">
        <v>3035</v>
      </c>
    </row>
    <row r="25" spans="7:19">
      <c r="G25" t="s">
        <v>74</v>
      </c>
      <c r="H25">
        <v>76441.9</v>
      </c>
      <c r="I25">
        <v>11659.4</v>
      </c>
      <c r="J25">
        <v>17106.9</v>
      </c>
      <c r="K25">
        <v>80879</v>
      </c>
      <c r="L25">
        <v>12416</v>
      </c>
      <c r="M25">
        <v>18345.1</v>
      </c>
      <c r="N25">
        <v>34396.7</v>
      </c>
      <c r="O25">
        <v>5488.5</v>
      </c>
      <c r="P25">
        <v>7951.9</v>
      </c>
      <c r="Q25">
        <v>191717.6</v>
      </c>
      <c r="R25">
        <v>29563.9</v>
      </c>
      <c r="S25">
        <v>43403.9</v>
      </c>
    </row>
    <row r="32" spans="1:5">
      <c r="A32" s="1" t="s">
        <v>2</v>
      </c>
      <c r="B32" s="1" t="s">
        <v>130</v>
      </c>
      <c r="C32" s="1" t="s">
        <v>3</v>
      </c>
      <c r="D32" s="1" t="s">
        <v>9</v>
      </c>
      <c r="E32" s="2" t="s">
        <v>18</v>
      </c>
    </row>
    <row r="33" spans="1:5">
      <c r="A33" s="3" t="s">
        <v>19</v>
      </c>
      <c r="B33" s="4">
        <f>((441.7-431.2)/431.2)*100</f>
        <v>2.43506493506494</v>
      </c>
      <c r="C33" s="4">
        <f>((6239.2-6335)/6335)*100</f>
        <v>-1.51223362273086</v>
      </c>
      <c r="D33" s="4">
        <f>((946.6-944.4)/944.4)*100</f>
        <v>0.23295213892419</v>
      </c>
      <c r="E33" s="4">
        <f>((1364.4-1355)/1355)*100</f>
        <v>0.693726937269379</v>
      </c>
    </row>
    <row r="34" spans="1:5">
      <c r="A34" s="3" t="s">
        <v>20</v>
      </c>
      <c r="B34" s="4">
        <f>((B13-B12)/B12)*100</f>
        <v>3.21485170930496</v>
      </c>
      <c r="C34" s="4">
        <f t="shared" ref="C34:C44" si="0">((H14-H13)/H13)*100</f>
        <v>-1.74060777022694</v>
      </c>
      <c r="D34" s="4">
        <f t="shared" ref="D34:D44" si="1">((I14-I13)/I13)*100</f>
        <v>0.31692372702303</v>
      </c>
      <c r="E34" s="4">
        <f t="shared" ref="E34:E44" si="2">((J14-J13)/J13)*100</f>
        <v>1.69305189094107</v>
      </c>
    </row>
    <row r="35" spans="1:5">
      <c r="A35" s="3" t="s">
        <v>26</v>
      </c>
      <c r="B35" s="4">
        <f t="shared" ref="B35:B44" si="3">((B14-B13)/B13)*100</f>
        <v>2.28120201798641</v>
      </c>
      <c r="C35" s="4">
        <f t="shared" si="0"/>
        <v>-0.0163116171337226</v>
      </c>
      <c r="D35" s="4">
        <f t="shared" si="1"/>
        <v>-0.484414490311713</v>
      </c>
      <c r="E35" s="4">
        <f t="shared" si="2"/>
        <v>0.843243243243247</v>
      </c>
    </row>
    <row r="36" spans="1:5">
      <c r="A36" s="3" t="s">
        <v>29</v>
      </c>
      <c r="B36" s="4">
        <f t="shared" si="3"/>
        <v>0.0428908428050587</v>
      </c>
      <c r="C36" s="4">
        <f t="shared" si="0"/>
        <v>1.20073087966587</v>
      </c>
      <c r="D36" s="4">
        <f t="shared" si="1"/>
        <v>0.708994708994714</v>
      </c>
      <c r="E36" s="4">
        <f t="shared" si="2"/>
        <v>0.457404230989127</v>
      </c>
    </row>
    <row r="37" spans="1:5">
      <c r="A37" s="3" t="s">
        <v>15</v>
      </c>
      <c r="B37" s="4">
        <f t="shared" si="3"/>
        <v>2.16505894962487</v>
      </c>
      <c r="C37" s="4">
        <f t="shared" si="0"/>
        <v>1.97478720660304</v>
      </c>
      <c r="D37" s="4">
        <f t="shared" si="1"/>
        <v>1.99642744562362</v>
      </c>
      <c r="E37" s="4">
        <f t="shared" si="2"/>
        <v>1.38019351166762</v>
      </c>
    </row>
    <row r="38" spans="1:5">
      <c r="A38" s="3" t="s">
        <v>30</v>
      </c>
      <c r="B38" s="4">
        <f t="shared" si="3"/>
        <v>0.293747377255555</v>
      </c>
      <c r="C38" s="4">
        <f t="shared" si="0"/>
        <v>1.3437248051599</v>
      </c>
      <c r="D38" s="4">
        <f t="shared" si="1"/>
        <v>0.236942412691867</v>
      </c>
      <c r="E38" s="4">
        <f t="shared" si="2"/>
        <v>-0.119298245614038</v>
      </c>
    </row>
    <row r="39" ht="15.6" spans="1:12">
      <c r="A39" s="3" t="s">
        <v>31</v>
      </c>
      <c r="B39" s="4">
        <f t="shared" si="3"/>
        <v>0.606694560669451</v>
      </c>
      <c r="C39" s="4">
        <f t="shared" si="0"/>
        <v>0.631756282465253</v>
      </c>
      <c r="D39" s="4">
        <f t="shared" si="1"/>
        <v>0.616649537512847</v>
      </c>
      <c r="E39" s="4">
        <f t="shared" si="2"/>
        <v>0.625307384247881</v>
      </c>
      <c r="H39" s="5" t="s">
        <v>131</v>
      </c>
      <c r="I39" s="7" t="s">
        <v>132</v>
      </c>
      <c r="K39" s="8" cm="1">
        <f t="array" ref="K39">CORREL(B33:B61,C33:C61)</f>
        <v>-0.071815908770034</v>
      </c>
      <c r="L39" s="9" t="s">
        <v>133</v>
      </c>
    </row>
    <row r="40" spans="1:9">
      <c r="A40" s="3" t="s">
        <v>32</v>
      </c>
      <c r="B40" s="4">
        <f t="shared" si="3"/>
        <v>1.14368891661468</v>
      </c>
      <c r="C40" s="4">
        <f t="shared" si="0"/>
        <v>-0.317770337301587</v>
      </c>
      <c r="D40" s="4">
        <f t="shared" si="1"/>
        <v>0.326864147088871</v>
      </c>
      <c r="E40" s="4">
        <f t="shared" si="2"/>
        <v>0.844854070660516</v>
      </c>
      <c r="I40" s="10"/>
    </row>
    <row r="41" ht="15.6" spans="1:12">
      <c r="A41" s="3" t="s">
        <v>33</v>
      </c>
      <c r="B41" s="4">
        <f t="shared" si="3"/>
        <v>0.14391447368422</v>
      </c>
      <c r="C41" s="4">
        <f t="shared" si="0"/>
        <v>0.0435411386007772</v>
      </c>
      <c r="D41" s="4">
        <f t="shared" si="1"/>
        <v>0.0712685807371138</v>
      </c>
      <c r="E41" s="4">
        <f t="shared" si="2"/>
        <v>0.0830852316000862</v>
      </c>
      <c r="H41" s="5" t="s">
        <v>131</v>
      </c>
      <c r="I41" s="10" t="s">
        <v>134</v>
      </c>
      <c r="K41" s="8" cm="1">
        <f t="array" ref="K41">CORREL(B33:B61,D33:D61)</f>
        <v>-0.186547682226395</v>
      </c>
      <c r="L41" t="s">
        <v>135</v>
      </c>
    </row>
    <row r="42" spans="1:5">
      <c r="A42" s="3" t="s">
        <v>34</v>
      </c>
      <c r="B42" s="4">
        <f t="shared" si="3"/>
        <v>0.985423937589808</v>
      </c>
      <c r="C42" s="4">
        <f t="shared" si="0"/>
        <v>1.62586461490636</v>
      </c>
      <c r="D42" s="4">
        <f t="shared" si="1"/>
        <v>0.447654898768947</v>
      </c>
      <c r="E42" s="4">
        <f t="shared" si="2"/>
        <v>0.823244552058118</v>
      </c>
    </row>
    <row r="43" ht="15.6" spans="1:12">
      <c r="A43" s="3" t="s">
        <v>36</v>
      </c>
      <c r="B43" s="4">
        <f t="shared" si="3"/>
        <v>-0.223622687538111</v>
      </c>
      <c r="C43" s="4">
        <f t="shared" si="0"/>
        <v>0.854988452302651</v>
      </c>
      <c r="D43" s="4">
        <f t="shared" si="1"/>
        <v>0.668489820723187</v>
      </c>
      <c r="E43" s="4">
        <f t="shared" si="2"/>
        <v>0.23329216412789</v>
      </c>
      <c r="H43" s="5" t="s">
        <v>131</v>
      </c>
      <c r="I43" s="7" t="s">
        <v>136</v>
      </c>
      <c r="K43" s="8" cm="1">
        <f t="array" ref="K43">CORREL(B33:B61,E33:E61)</f>
        <v>0.761435738629799</v>
      </c>
      <c r="L43" t="s">
        <v>137</v>
      </c>
    </row>
    <row r="44" spans="1:5">
      <c r="A44" s="3" t="s">
        <v>37</v>
      </c>
      <c r="B44" s="4">
        <f t="shared" si="3"/>
        <v>0.122249388753049</v>
      </c>
      <c r="C44" s="4">
        <f t="shared" si="0"/>
        <v>-0.585380649074922</v>
      </c>
      <c r="D44" s="4">
        <f t="shared" si="1"/>
        <v>0.362209477814672</v>
      </c>
      <c r="E44" s="4">
        <f t="shared" si="2"/>
        <v>0.0616100766703239</v>
      </c>
    </row>
    <row r="45" spans="1:5">
      <c r="A45" s="6" t="s">
        <v>19</v>
      </c>
      <c r="B45" s="4">
        <v>0.04070004070005</v>
      </c>
      <c r="C45" s="4">
        <f>((K14-H24)/H24)*100</f>
        <v>-0.919852335479136</v>
      </c>
      <c r="D45" s="4">
        <f>((L14-I24)/I24)*100</f>
        <v>1.03258145363408</v>
      </c>
      <c r="E45" s="4">
        <f>((M14-J24)/J24)*100</f>
        <v>1.08093316001915</v>
      </c>
    </row>
    <row r="46" spans="1:5">
      <c r="A46" s="6" t="s">
        <v>20</v>
      </c>
      <c r="B46" s="4">
        <v>0.915378356387307</v>
      </c>
      <c r="C46" s="4">
        <f>((K14-K13)/K13)*100</f>
        <v>-0.135303433324609</v>
      </c>
      <c r="D46" s="4">
        <f>((L14-L13)/L13)*100</f>
        <v>0.659208949260878</v>
      </c>
      <c r="E46" s="4">
        <f>((M14-M13)/M13)*100</f>
        <v>0.653995503780905</v>
      </c>
    </row>
    <row r="47" spans="1:5">
      <c r="A47" s="6" t="s">
        <v>26</v>
      </c>
      <c r="B47" s="4">
        <v>0.907075186454344</v>
      </c>
      <c r="C47" s="4">
        <f t="shared" ref="C47:C61" si="4">((K15-K14)/K14)*100</f>
        <v>0.993056303983002</v>
      </c>
      <c r="D47" s="4">
        <f t="shared" ref="D47:D61" si="5">((L15-L14)/L14)*100</f>
        <v>1.07164119865053</v>
      </c>
      <c r="E47" s="4">
        <f t="shared" ref="E47:E61" si="6">((M15-M14)/M14)*100</f>
        <v>0.467005076142138</v>
      </c>
    </row>
    <row r="48" spans="1:5">
      <c r="A48" s="6" t="s">
        <v>29</v>
      </c>
      <c r="B48" s="4">
        <v>3.07630842988413</v>
      </c>
      <c r="C48" s="4">
        <f t="shared" si="4"/>
        <v>1.39795109457893</v>
      </c>
      <c r="D48" s="4">
        <f t="shared" si="5"/>
        <v>0.746122128411547</v>
      </c>
      <c r="E48" s="4">
        <f t="shared" si="6"/>
        <v>1.62355160334141</v>
      </c>
    </row>
    <row r="49" spans="1:5">
      <c r="A49" s="6" t="s">
        <v>15</v>
      </c>
      <c r="B49" s="4">
        <v>1.43410852713178</v>
      </c>
      <c r="C49" s="4">
        <f t="shared" si="4"/>
        <v>1.15165456376948</v>
      </c>
      <c r="D49" s="4">
        <f t="shared" si="5"/>
        <v>0.146170337166244</v>
      </c>
      <c r="E49" s="4">
        <f t="shared" si="6"/>
        <v>0.835266821345702</v>
      </c>
    </row>
    <row r="50" spans="1:5">
      <c r="A50" s="6" t="s">
        <v>30</v>
      </c>
      <c r="B50" s="4">
        <v>0.8024455483378</v>
      </c>
      <c r="C50" s="4">
        <f t="shared" si="4"/>
        <v>1.03747083042257</v>
      </c>
      <c r="D50" s="4">
        <f t="shared" si="5"/>
        <v>0.476792838376945</v>
      </c>
      <c r="E50" s="4">
        <f t="shared" si="6"/>
        <v>0.374728814673595</v>
      </c>
    </row>
    <row r="51" spans="1:5">
      <c r="A51" s="6" t="s">
        <v>31</v>
      </c>
      <c r="B51" s="4">
        <v>2.10386656557999</v>
      </c>
      <c r="C51" s="4">
        <f t="shared" si="4"/>
        <v>0.186827897671269</v>
      </c>
      <c r="D51" s="4">
        <f t="shared" si="5"/>
        <v>0.309897346503975</v>
      </c>
      <c r="E51" s="4">
        <f t="shared" si="6"/>
        <v>1.1199895205659</v>
      </c>
    </row>
    <row r="52" spans="1:5">
      <c r="A52" s="6" t="s">
        <v>32</v>
      </c>
      <c r="B52" s="4">
        <v>-0.445516985335083</v>
      </c>
      <c r="C52" s="4">
        <f t="shared" si="4"/>
        <v>0.121872430400567</v>
      </c>
      <c r="D52" s="4">
        <f t="shared" si="5"/>
        <v>0.646843019888014</v>
      </c>
      <c r="E52" s="4">
        <f t="shared" si="6"/>
        <v>0.284992551331036</v>
      </c>
    </row>
    <row r="53" spans="1:5">
      <c r="A53" s="6" t="s">
        <v>33</v>
      </c>
      <c r="B53" s="4">
        <v>0.391571881409663</v>
      </c>
      <c r="C53" s="4">
        <f t="shared" si="4"/>
        <v>0.533826095883387</v>
      </c>
      <c r="D53" s="4">
        <f t="shared" si="5"/>
        <v>0.201438848920855</v>
      </c>
      <c r="E53" s="4">
        <f t="shared" si="6"/>
        <v>0.43273267454628</v>
      </c>
    </row>
    <row r="54" spans="1:5">
      <c r="A54" s="6" t="s">
        <v>34</v>
      </c>
      <c r="B54" s="4">
        <v>0.538632986627039</v>
      </c>
      <c r="C54" s="4">
        <f t="shared" si="4"/>
        <v>0.714796283059328</v>
      </c>
      <c r="D54" s="4">
        <f t="shared" si="5"/>
        <v>0.612674708022218</v>
      </c>
      <c r="E54" s="4">
        <f t="shared" si="6"/>
        <v>0.688102893890678</v>
      </c>
    </row>
    <row r="55" spans="1:5">
      <c r="A55" s="6" t="s">
        <v>36</v>
      </c>
      <c r="B55" s="4">
        <v>0.406428967300951</v>
      </c>
      <c r="C55" s="4">
        <f t="shared" si="4"/>
        <v>-0.0753175649251999</v>
      </c>
      <c r="D55" s="4">
        <f t="shared" si="5"/>
        <v>0.732635585156998</v>
      </c>
      <c r="E55" s="4">
        <f t="shared" si="6"/>
        <v>0.447084371207766</v>
      </c>
    </row>
    <row r="56" spans="1:5">
      <c r="A56" s="6" t="s">
        <v>37</v>
      </c>
      <c r="B56" s="4">
        <v>0.349586016559333</v>
      </c>
      <c r="C56" s="4">
        <f t="shared" si="4"/>
        <v>-0.617489744741908</v>
      </c>
      <c r="D56" s="4">
        <f t="shared" si="5"/>
        <v>1.00122792103522</v>
      </c>
      <c r="E56" s="4">
        <f t="shared" si="6"/>
        <v>0.0381509505945132</v>
      </c>
    </row>
    <row r="57" spans="1:5">
      <c r="A57" s="6" t="s">
        <v>19</v>
      </c>
      <c r="B57" s="4">
        <v>-0.0183351668500225</v>
      </c>
      <c r="C57" s="4">
        <f>((N14-K24)/K24)*100</f>
        <v>-0.121056546533847</v>
      </c>
      <c r="D57" s="4">
        <f>((O14-L24)/L24)*100</f>
        <v>2.39408959132144</v>
      </c>
      <c r="E57" s="4">
        <f>((P14-M24)/M24)*100</f>
        <v>0.997902497934281</v>
      </c>
    </row>
    <row r="58" spans="1:5">
      <c r="A58" s="6" t="s">
        <v>20</v>
      </c>
      <c r="B58" s="4">
        <v>0.220062350999458</v>
      </c>
      <c r="C58" s="4">
        <f>((N14-N13)/N13)*100</f>
        <v>-0.553288508734993</v>
      </c>
      <c r="D58" s="4">
        <f>((O14-O13)/O13)*100</f>
        <v>1.25774530657543</v>
      </c>
      <c r="E58" s="4">
        <f>((P14-P13)/P13)*100</f>
        <v>0.588719377096914</v>
      </c>
    </row>
    <row r="59" spans="1:5">
      <c r="A59" s="6" t="s">
        <v>26</v>
      </c>
      <c r="B59" s="4">
        <v>-0.109789569990855</v>
      </c>
      <c r="C59" s="4">
        <f>((N15-N14)/N14)*100</f>
        <v>0.00584112149532179</v>
      </c>
      <c r="D59" s="4">
        <f>((O15-O14)/O14)*100</f>
        <v>0.00913325417845548</v>
      </c>
      <c r="E59" s="4">
        <f>((P15-P14)/P14)*100</f>
        <v>-0.0377595972309571</v>
      </c>
    </row>
    <row r="60" spans="1:5">
      <c r="A60" s="6" t="s">
        <v>29</v>
      </c>
      <c r="B60" s="4">
        <v>-0.109910239970695</v>
      </c>
      <c r="C60" s="4">
        <f>((N16-N15)/N15)*100</f>
        <v>0.483324572162846</v>
      </c>
      <c r="D60" s="4">
        <f>((O16-O15)/O15)*100</f>
        <v>0.995433789954346</v>
      </c>
      <c r="E60" s="4">
        <f>((P16-P15)/P15)*100</f>
        <v>0.365147318055902</v>
      </c>
    </row>
    <row r="61" spans="1:5">
      <c r="A61" s="3" t="s">
        <v>15</v>
      </c>
      <c r="B61" s="4">
        <v>0.623509994498458</v>
      </c>
      <c r="C61" s="4">
        <f>((N17-N16)/N16)*100</f>
        <v>0.744023832013367</v>
      </c>
      <c r="D61" s="4">
        <f>((O17-O16)/O16)*100</f>
        <v>0.49733248937517</v>
      </c>
      <c r="E61" s="4">
        <f>((P17-P16)/P16)*100</f>
        <v>0.401455275373219</v>
      </c>
    </row>
  </sheetData>
  <autoFilter xmlns:etc="http://www.wps.cn/officeDocument/2017/etCustomData" ref="A32:E61" etc:filterBottomFollowUsedRange="0">
    <extLst/>
  </autoFilter>
  <pageMargins left="0.75" right="0.75" top="1" bottom="1" header="0.5" footer="0.5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 Practice</vt:lpstr>
      <vt:lpstr>4. Practice sheet</vt:lpstr>
      <vt:lpstr>CPI_INDIA</vt:lpstr>
      <vt:lpstr>1. CPI_Lates_ Month_Data</vt:lpstr>
      <vt:lpstr>2.  Y-o-Y increase in CP!</vt:lpstr>
      <vt:lpstr>3. M-O-M Food Inflation</vt:lpstr>
      <vt:lpstr>4. Investigate how the onset </vt:lpstr>
      <vt:lpstr>5. Correlation on Oil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meman</cp:lastModifiedBy>
  <dcterms:created xsi:type="dcterms:W3CDTF">2024-10-26T08:41:00Z</dcterms:created>
  <dcterms:modified xsi:type="dcterms:W3CDTF">2024-11-04T16:00:26Z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93C3AFCFB0C34C27AFC57B83AD93E781_13</vt:lpwstr>
  </property>
  <property fmtid="{D5CDD505-2E9C-101B-9397-08002B2CF9AE}" pid="3" name="KSOProductBuildVer">
    <vt:lpwstr>1033-12.2.0.18607</vt:lpwstr>
  </property>
</Properties>
</file>